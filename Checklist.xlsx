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mc:AlternateContent xmlns:mc="http://schemas.openxmlformats.org/markup-compatibility/2006">
    <mc:Choice Requires="x15">
      <x15ac:absPath xmlns:x15ac="http://schemas.microsoft.com/office/spreadsheetml/2010/11/ac" url="C:\Users\12300618\Downloads\"/>
    </mc:Choice>
  </mc:AlternateContent>
  <xr:revisionPtr revIDLastSave="113" documentId="13_ncr:1_{3EC9E19C-9961-4A0F-BFD1-7D6CE9B479F4}" xr6:coauthVersionLast="47" xr6:coauthVersionMax="47" xr10:uidLastSave="{EAFE5524-D30F-4C1E-914A-8E6864BFF87E}"/>
  <bookViews>
    <workbookView xWindow="-120" yWindow="-120" windowWidth="29040" windowHeight="15720" firstSheet="1" xr2:uid="{4FA6FC37-651D-4445-9AC3-FDA82B5594E7}"/>
  </bookViews>
  <sheets>
    <sheet name="Blad2" sheetId="2" r:id="rId1"/>
    <sheet name="Checklist_RobotProject" sheetId="1" r:id="rId2"/>
    <sheet name="Skills_Robbie" sheetId="3" r:id="rId3"/>
    <sheet name="Skills_Yassin" sheetId="5" r:id="rId4"/>
    <sheet name="Skills_Daan" sheetId="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2" l="1"/>
  <c r="D11" i="2"/>
  <c r="C12" i="2"/>
  <c r="C11" i="2"/>
  <c r="B11" i="2"/>
  <c r="B12" i="2"/>
  <c r="B10" i="2"/>
  <c r="D10" i="2"/>
  <c r="C10" i="2"/>
  <c r="D8" i="2"/>
  <c r="C8" i="2"/>
  <c r="D7" i="2"/>
  <c r="C7" i="2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59" i="1"/>
  <c r="E60" i="1"/>
  <c r="E61" i="1"/>
  <c r="E62" i="1"/>
  <c r="E63" i="1"/>
  <c r="E64" i="1"/>
  <c r="E65" i="1"/>
  <c r="E44" i="1"/>
  <c r="E45" i="1"/>
  <c r="E46" i="1"/>
  <c r="E47" i="1"/>
  <c r="E48" i="1"/>
  <c r="E49" i="1"/>
  <c r="E50" i="1"/>
  <c r="E10" i="1"/>
  <c r="E11" i="1"/>
  <c r="E12" i="1"/>
  <c r="E3" i="1"/>
  <c r="E4" i="1"/>
  <c r="E6" i="1"/>
  <c r="E7" i="1"/>
  <c r="E8" i="1"/>
  <c r="E13" i="1"/>
  <c r="E14" i="1"/>
  <c r="E16" i="1"/>
  <c r="E18" i="1"/>
  <c r="E19" i="1"/>
  <c r="E21" i="1"/>
  <c r="E22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51" i="1"/>
  <c r="E52" i="1"/>
  <c r="E53" i="1"/>
  <c r="E54" i="1"/>
  <c r="E55" i="1"/>
  <c r="E56" i="1"/>
  <c r="E57" i="1"/>
  <c r="E58" i="1"/>
  <c r="E2" i="1"/>
</calcChain>
</file>

<file path=xl/sharedStrings.xml><?xml version="1.0" encoding="utf-8"?>
<sst xmlns="http://schemas.openxmlformats.org/spreadsheetml/2006/main" count="287" uniqueCount="97">
  <si>
    <t>CHECKLIST ROBOTICA PROJECT</t>
  </si>
  <si>
    <t>STUDENT1</t>
  </si>
  <si>
    <t>Robbie Vandeputte</t>
  </si>
  <si>
    <t>STUDENT2</t>
  </si>
  <si>
    <t>Yassin Kasmi</t>
  </si>
  <si>
    <t>STUDENT3</t>
  </si>
  <si>
    <t>Bullen Daan</t>
  </si>
  <si>
    <t>PROJECT</t>
  </si>
  <si>
    <t>GEDAAN</t>
  </si>
  <si>
    <t>DOCUMENTATIE</t>
  </si>
  <si>
    <t>MIN requirements</t>
  </si>
  <si>
    <t>ADD and EXRA requirements</t>
  </si>
  <si>
    <t>SKILS</t>
  </si>
  <si>
    <t>Requirement</t>
  </si>
  <si>
    <t>IN project</t>
  </si>
  <si>
    <t>Gedocumenteerd</t>
  </si>
  <si>
    <t>MIN</t>
  </si>
  <si>
    <t>1* Main project met een fysieke robot </t>
  </si>
  <si>
    <t>Minimaal 20 bewegingen die de capaciteit van de robot tonen</t>
  </si>
  <si>
    <t xml:space="preserve">Combinatie van rechtlijnige en joint/ptp bewegingen </t>
  </si>
  <si>
    <t xml:space="preserve">Cnt en fine bewegingen </t>
  </si>
  <si>
    <t>documenteren, kunnen uitleggen</t>
  </si>
  <si>
    <t>Correcte bewegingsinstructies  (snelheid/versnelling/tool/base)</t>
  </si>
  <si>
    <t>Wait instructie - TIME</t>
  </si>
  <si>
    <t>Wait instructie - I/O</t>
  </si>
  <si>
    <t xml:space="preserve">Correcte aansturing van de grijper via een zelfgemaakt (onder)programma. </t>
  </si>
  <si>
    <t>nog eens bekijken</t>
  </si>
  <si>
    <t xml:space="preserve">Gebruik van meerdere deelprogramma’s (met en zonder bewegingen). </t>
  </si>
  <si>
    <t xml:space="preserve">Minimaal 1 TCP + Payload + kalibratie </t>
  </si>
  <si>
    <t xml:space="preserve">Minimaal 1 Base/frame + kalibratie </t>
  </si>
  <si>
    <t xml:space="preserve">Minimaal één interrupt-afhandeling </t>
  </si>
  <si>
    <t xml:space="preserve">Correct gebruik van een homepositie </t>
  </si>
  <si>
    <t xml:space="preserve">Back-up </t>
  </si>
  <si>
    <t>Correct gebruik van commentaar</t>
  </si>
  <si>
    <t xml:space="preserve">Principewerking van een “zonebewaking” </t>
  </si>
  <si>
    <t>documenteren, zeker principe van handshake</t>
  </si>
  <si>
    <t>Cyclustijd meting</t>
  </si>
  <si>
    <t>Gebruik van lokale data of variabelen</t>
  </si>
  <si>
    <t xml:space="preserve">Gebruik van globale data of variabelen </t>
  </si>
  <si>
    <t xml:space="preserve">Gebruik van input en output </t>
  </si>
  <si>
    <t xml:space="preserve">Gebruik van loops (programma afloop) </t>
  </si>
  <si>
    <t>Asbeveiliging (en/of andere beveiligingen) </t>
  </si>
  <si>
    <t xml:space="preserve">SPS programmatie (KUKA) / conditie (Fanuc) </t>
  </si>
  <si>
    <t>Meerdere berekenden punten (of baseverschuiving/offset)</t>
  </si>
  <si>
    <t xml:space="preserve">Het gebruik van een Array (KUKA) </t>
  </si>
  <si>
    <t xml:space="preserve">De snelheid van de bewegingen is variabel instelbaar via 3 voorgeprogrammeerde parameters: Fast; medium; slow </t>
  </si>
  <si>
    <t>ADD</t>
  </si>
  <si>
    <t>Rapportering ++ (=”professionele rapportering”)  </t>
  </si>
  <si>
    <t>Robot start met een hoofdprogramma en werk een afloop af aan de hand van programmanummers/jobs. </t>
  </si>
  <si>
    <t>Verschillende types van uitvoeringen (voorbeeld variaties van op te nemen delen). </t>
  </si>
  <si>
    <t>Correcte foutafhandeling van de grijper.  (De robot zal nooit in de fout gaan, zelfs als er delen verwijderd worden uit de cel.) </t>
  </si>
  <si>
    <t>Correcte deelcontrole en afhandeling van de grijper </t>
  </si>
  <si>
    <t>Cyclus optimalisatie ++ </t>
  </si>
  <si>
    <t>Loggegevens  (Timing, program counter, error …) </t>
  </si>
  <si>
    <t>Grijperwissel </t>
  </si>
  <si>
    <t>Meerdere logische vrijgaven van zone en jobs </t>
  </si>
  <si>
    <t>Communicatie met PLC (simulatie) </t>
  </si>
  <si>
    <t>Communicatie met randapparatuur (simulatie) </t>
  </si>
  <si>
    <t>Al de parameters zijn variabele parameters (snelheid, acceleratie, …) </t>
  </si>
  <si>
    <t>Expert KRL programmatie </t>
  </si>
  <si>
    <t>Expert SPS programmatie </t>
  </si>
  <si>
    <t>Dialoogmeldingen </t>
  </si>
  <si>
    <t>Uitgebreide simulatie </t>
  </si>
  <si>
    <t>Aansluiten van drukknoppen om I/O te laten werken (drukknoppen + verlichting) na demontage voor bachelorproef</t>
  </si>
  <si>
    <t>…</t>
  </si>
  <si>
    <t>EXTRA</t>
  </si>
  <si>
    <t>Auto Home Functie </t>
  </si>
  <si>
    <t>Camera posities </t>
  </si>
  <si>
    <t>Aanpassingen aan de configuratie van de cell  (Positieve aanpassing 😊 ) </t>
  </si>
  <si>
    <t>Simulatie is identiek aan het een robotprogramma. </t>
  </si>
  <si>
    <t>Communicatie met een PLC </t>
  </si>
  <si>
    <t>Communicatie met een Arduino of andere IoT. </t>
  </si>
  <si>
    <t>‘Expert’ programmatie (KRL voor Kuka) </t>
  </si>
  <si>
    <t>Opmaken van inspectiefiche voor onderhoud op robot + controller</t>
  </si>
  <si>
    <t>NAAM STUDENT: Robbie Vandeputte</t>
  </si>
  <si>
    <t>Installatie opstarten + foutmeldingen interpreteren </t>
  </si>
  <si>
    <t>Handbediening van de robot </t>
  </si>
  <si>
    <t>Robotprogramma testen in manuele mode (T1) </t>
  </si>
  <si>
    <r>
      <t xml:space="preserve">Robotprogramma testen in snelle mode (T2) → Opgelet </t>
    </r>
    <r>
      <rPr>
        <b/>
        <sz val="11"/>
        <color rgb="FF000000"/>
        <rFont val="Calibri"/>
        <family val="2"/>
      </rPr>
      <t>SAFETY</t>
    </r>
    <r>
      <rPr>
        <sz val="11"/>
        <color rgb="FF000000"/>
        <rFont val="Calibri"/>
        <family val="2"/>
      </rPr>
      <t>!!!  </t>
    </r>
  </si>
  <si>
    <t>Robotprogramma testen in automatische mode </t>
  </si>
  <si>
    <t>Cyclustijd meting en optimalisatie </t>
  </si>
  <si>
    <t>Rapportering: </t>
  </si>
  <si>
    <t>Documentatie </t>
  </si>
  <si>
    <t>Back-up </t>
  </si>
  <si>
    <t>Omschrijving </t>
  </si>
  <si>
    <t>Aanmaken van een robotsimulatie </t>
  </si>
  <si>
    <t>Interpreteren van een simulatie </t>
  </si>
  <si>
    <t>De robot in een productielijn &amp; communicatie PLC &amp; periferie. </t>
  </si>
  <si>
    <t>Basiskennis van de fysieke robot </t>
  </si>
  <si>
    <t>Basiskennis van de simulatieomgeving  </t>
  </si>
  <si>
    <t>(Her)teachen van punten, en weten wanneer dit nodig is </t>
  </si>
  <si>
    <t>Het nut van een TCP, payload en base/frame kennen, en kunnen toepassen </t>
  </si>
  <si>
    <t>Het maken van een back-up </t>
  </si>
  <si>
    <t>Instellen van nodige saftey voor zowel operator als robot </t>
  </si>
  <si>
    <t>Het gebruiken van variabele (lokaal en globaal) </t>
  </si>
  <si>
    <t>Het kunnen interpreteren van een punt-coördinaat en de data ervan </t>
  </si>
  <si>
    <t xml:space="preserve">NAAM STUDENT: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</si>
</sst>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Calibri"/>
      <family val="2"/>
    </font>
    <font>
      <sz val="12"/>
      <name val="Calibri"/>
      <family val="2"/>
    </font>
    <font>
      <b/>
      <sz val="11"/>
      <color rgb="FF000000"/>
      <name val="Calibri"/>
      <family val="2"/>
    </font>
    <font>
      <sz val="11"/>
      <color theme="0" tint="-0.249977111117893"/>
      <name val="Aptos Narrow"/>
      <family val="2"/>
      <scheme val="minor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1" tint="0.34998626667073579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hair">
        <color theme="0" tint="-0.499984740745262"/>
      </bottom>
      <diagonal/>
    </border>
    <border>
      <left/>
      <right style="medium">
        <color indexed="64"/>
      </right>
      <top style="hair">
        <color theme="0" tint="-0.499984740745262"/>
      </top>
      <bottom style="hair">
        <color theme="0" tint="-0.49998474074526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hair">
        <color theme="0" tint="-0.499984740745262"/>
      </top>
      <bottom style="medium">
        <color indexed="64"/>
      </bottom>
      <diagonal/>
    </border>
    <border>
      <left/>
      <right style="medium">
        <color indexed="64"/>
      </right>
      <top style="hair">
        <color theme="0" tint="-0.499984740745262"/>
      </top>
      <bottom style="medium">
        <color indexed="64"/>
      </bottom>
      <diagonal/>
    </border>
    <border>
      <left/>
      <right style="medium">
        <color indexed="64"/>
      </right>
      <top style="hair">
        <color theme="0" tint="-0.499984740745262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 style="hair">
        <color theme="0" tint="-0.499984740745262"/>
      </bottom>
      <diagonal/>
    </border>
    <border>
      <left/>
      <right style="medium">
        <color indexed="64"/>
      </right>
      <top style="double">
        <color indexed="64"/>
      </top>
      <bottom style="hair">
        <color theme="0" tint="-0.49998474074526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2" borderId="0" xfId="0" applyFont="1" applyFill="1"/>
    <xf numFmtId="0" fontId="3" fillId="0" borderId="1" xfId="0" applyFont="1" applyBorder="1"/>
    <xf numFmtId="0" fontId="0" fillId="2" borderId="1" xfId="0" applyFill="1" applyBorder="1" applyProtection="1"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2" xfId="0" applyBorder="1"/>
    <xf numFmtId="0" fontId="0" fillId="2" borderId="2" xfId="0" applyFill="1" applyBorder="1" applyProtection="1"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2" xfId="0" applyFont="1" applyBorder="1"/>
    <xf numFmtId="0" fontId="3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 applyProtection="1">
      <alignment horizontal="left" vertical="center" wrapText="1"/>
      <protection locked="0"/>
    </xf>
    <xf numFmtId="0" fontId="3" fillId="0" borderId="2" xfId="0" applyFont="1" applyBorder="1" applyAlignment="1" applyProtection="1">
      <alignment horizontal="left" vertical="center" wrapText="1"/>
      <protection locked="0"/>
    </xf>
    <xf numFmtId="0" fontId="0" fillId="2" borderId="3" xfId="0" applyFill="1" applyBorder="1" applyProtection="1"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3" borderId="4" xfId="0" applyFont="1" applyFill="1" applyBorder="1"/>
    <xf numFmtId="0" fontId="2" fillId="3" borderId="5" xfId="0" applyFont="1" applyFill="1" applyBorder="1"/>
    <xf numFmtId="0" fontId="2" fillId="3" borderId="6" xfId="0" applyFont="1" applyFill="1" applyBorder="1"/>
    <xf numFmtId="0" fontId="6" fillId="3" borderId="7" xfId="0" applyFont="1" applyFill="1" applyBorder="1"/>
    <xf numFmtId="0" fontId="0" fillId="2" borderId="8" xfId="0" applyFill="1" applyBorder="1" applyProtection="1"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9" xfId="0" applyFill="1" applyBorder="1" applyProtection="1"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3" borderId="10" xfId="0" applyFont="1" applyFill="1" applyBorder="1"/>
    <xf numFmtId="0" fontId="3" fillId="0" borderId="11" xfId="0" applyFont="1" applyBorder="1" applyAlignment="1" applyProtection="1">
      <alignment horizontal="left" vertical="center" wrapText="1"/>
      <protection locked="0"/>
    </xf>
    <xf numFmtId="0" fontId="0" fillId="2" borderId="11" xfId="0" applyFill="1" applyBorder="1" applyProtection="1"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12" xfId="0" applyFill="1" applyBorder="1" applyProtection="1"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2" borderId="0" xfId="0" applyFont="1" applyFill="1"/>
    <xf numFmtId="0" fontId="0" fillId="0" borderId="3" xfId="0" applyBorder="1"/>
    <xf numFmtId="0" fontId="0" fillId="2" borderId="13" xfId="0" applyFill="1" applyBorder="1" applyProtection="1"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3" borderId="14" xfId="0" applyFont="1" applyFill="1" applyBorder="1"/>
    <xf numFmtId="0" fontId="3" fillId="0" borderId="15" xfId="0" applyFont="1" applyBorder="1" applyAlignment="1">
      <alignment horizontal="left" vertical="center" wrapText="1"/>
    </xf>
    <xf numFmtId="0" fontId="0" fillId="2" borderId="15" xfId="0" applyFill="1" applyBorder="1" applyProtection="1"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16" xfId="0" applyFill="1" applyBorder="1" applyProtection="1"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3" xfId="0" applyFont="1" applyBorder="1" applyAlignment="1" applyProtection="1">
      <alignment horizontal="left" vertical="center" wrapText="1"/>
      <protection locked="0"/>
    </xf>
    <xf numFmtId="0" fontId="0" fillId="2" borderId="0" xfId="0" applyFill="1"/>
    <xf numFmtId="9" fontId="0" fillId="2" borderId="0" xfId="0" applyNumberFormat="1" applyFill="1"/>
    <xf numFmtId="1" fontId="0" fillId="2" borderId="0" xfId="0" applyNumberFormat="1" applyFill="1"/>
    <xf numFmtId="0" fontId="2" fillId="5" borderId="0" xfId="0" applyFont="1" applyFill="1"/>
    <xf numFmtId="0" fontId="0" fillId="2" borderId="7" xfId="0" applyFill="1" applyBorder="1"/>
    <xf numFmtId="0" fontId="2" fillId="5" borderId="7" xfId="0" applyFont="1" applyFill="1" applyBorder="1"/>
    <xf numFmtId="0" fontId="2" fillId="5" borderId="18" xfId="0" applyFont="1" applyFill="1" applyBorder="1"/>
    <xf numFmtId="9" fontId="0" fillId="2" borderId="18" xfId="0" applyNumberFormat="1" applyFill="1" applyBorder="1"/>
    <xf numFmtId="1" fontId="0" fillId="2" borderId="18" xfId="0" applyNumberFormat="1" applyFill="1" applyBorder="1"/>
    <xf numFmtId="0" fontId="0" fillId="2" borderId="10" xfId="0" applyFill="1" applyBorder="1"/>
    <xf numFmtId="9" fontId="0" fillId="2" borderId="17" xfId="0" applyNumberFormat="1" applyFill="1" applyBorder="1"/>
    <xf numFmtId="0" fontId="7" fillId="2" borderId="0" xfId="0" applyFont="1" applyFill="1"/>
    <xf numFmtId="0" fontId="0" fillId="2" borderId="0" xfId="0" applyFill="1" applyAlignment="1" applyProtection="1">
      <alignment horizontal="left"/>
      <protection locked="0"/>
    </xf>
    <xf numFmtId="0" fontId="0" fillId="2" borderId="18" xfId="0" applyFill="1" applyBorder="1" applyAlignment="1" applyProtection="1">
      <alignment horizontal="left"/>
      <protection locked="0"/>
    </xf>
    <xf numFmtId="0" fontId="2" fillId="4" borderId="4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</cellXfs>
  <cellStyles count="1">
    <cellStyle name="Standaard" xfId="0" builtinId="0"/>
  </cellStyles>
  <dxfs count="15">
    <dxf>
      <font>
        <strike val="0"/>
        <color theme="9" tint="-0.499984740745262"/>
      </font>
      <fill>
        <patternFill>
          <bgColor theme="0" tint="-4.9989318521683403E-2"/>
        </patternFill>
      </fill>
    </dxf>
    <dxf>
      <font>
        <strike val="0"/>
        <color theme="5" tint="-0.499984740745262"/>
      </font>
      <fill>
        <patternFill>
          <bgColor theme="0" tint="-4.9989318521683403E-2"/>
        </patternFill>
      </fill>
    </dxf>
    <dxf>
      <font>
        <b/>
        <i val="0"/>
        <strike val="0"/>
        <color theme="9" tint="-0.499984740745262"/>
      </font>
      <fill>
        <patternFill>
          <bgColor theme="0"/>
        </patternFill>
      </fill>
    </dxf>
    <dxf>
      <font>
        <strike val="0"/>
        <color theme="9" tint="-0.499984740745262"/>
      </font>
      <fill>
        <patternFill>
          <bgColor theme="0" tint="-4.9989318521683403E-2"/>
        </patternFill>
      </fill>
    </dxf>
    <dxf>
      <font>
        <strike val="0"/>
        <color theme="5" tint="-0.499984740745262"/>
      </font>
      <fill>
        <patternFill>
          <bgColor theme="0" tint="-4.9989318521683403E-2"/>
        </patternFill>
      </fill>
    </dxf>
    <dxf>
      <font>
        <b/>
        <i val="0"/>
        <strike val="0"/>
        <color theme="9" tint="-0.499984740745262"/>
      </font>
      <fill>
        <patternFill>
          <bgColor theme="0"/>
        </patternFill>
      </fill>
    </dxf>
    <dxf>
      <font>
        <strike val="0"/>
        <color theme="9" tint="-0.499984740745262"/>
      </font>
      <fill>
        <patternFill>
          <bgColor theme="0" tint="-4.9989318521683403E-2"/>
        </patternFill>
      </fill>
    </dxf>
    <dxf>
      <font>
        <strike val="0"/>
        <color theme="5" tint="-0.499984740745262"/>
      </font>
      <fill>
        <patternFill>
          <bgColor theme="0" tint="-4.9989318521683403E-2"/>
        </patternFill>
      </fill>
    </dxf>
    <dxf>
      <font>
        <b/>
        <i val="0"/>
        <strike val="0"/>
        <color theme="9" tint="-0.499984740745262"/>
      </font>
      <fill>
        <patternFill>
          <bgColor theme="0"/>
        </patternFill>
      </fill>
    </dxf>
    <dxf>
      <font>
        <strike val="0"/>
        <color theme="9" tint="-0.499984740745262"/>
      </font>
      <fill>
        <patternFill>
          <bgColor theme="0" tint="-4.9989318521683403E-2"/>
        </patternFill>
      </fill>
    </dxf>
    <dxf>
      <font>
        <strike val="0"/>
        <color theme="5" tint="-0.499984740745262"/>
      </font>
      <fill>
        <patternFill>
          <bgColor theme="0" tint="-4.9989318521683403E-2"/>
        </patternFill>
      </fill>
    </dxf>
    <dxf>
      <font>
        <b/>
        <i val="0"/>
        <strike val="0"/>
        <color theme="9" tint="-0.499984740745262"/>
      </font>
      <fill>
        <patternFill>
          <bgColor theme="0"/>
        </patternFill>
      </fill>
    </dxf>
    <dxf>
      <font>
        <strike val="0"/>
        <color theme="9" tint="-0.499984740745262"/>
      </font>
      <fill>
        <patternFill>
          <bgColor theme="0" tint="-4.9989318521683403E-2"/>
        </patternFill>
      </fill>
    </dxf>
    <dxf>
      <font>
        <strike val="0"/>
        <color theme="5" tint="-0.499984740745262"/>
      </font>
      <fill>
        <patternFill>
          <bgColor theme="0" tint="-4.9989318521683403E-2"/>
        </patternFill>
      </fill>
    </dxf>
    <dxf>
      <font>
        <b/>
        <i val="0"/>
        <strike val="0"/>
        <color theme="9" tint="-0.499984740745262"/>
      </font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333375</xdr:colOff>
      <xdr:row>1</xdr:row>
      <xdr:rowOff>180975</xdr:rowOff>
    </xdr:from>
    <xdr:to>
      <xdr:col>7</xdr:col>
      <xdr:colOff>514350</xdr:colOff>
      <xdr:row>5</xdr:row>
      <xdr:rowOff>66675</xdr:rowOff>
    </xdr:to>
    <xdr:sp macro="" textlink="">
      <xdr:nvSpPr>
        <xdr:cNvPr id="2" name="Pijl: links 1">
          <a:extLst>
            <a:ext uri="{FF2B5EF4-FFF2-40B4-BE49-F238E27FC236}">
              <a16:creationId xmlns:a16="http://schemas.microsoft.com/office/drawing/2014/main" id="{5F9C6052-0A77-377C-DC1F-FF0A4BAB29FB}"/>
            </a:ext>
          </a:extLst>
        </xdr:cNvPr>
        <xdr:cNvSpPr/>
      </xdr:nvSpPr>
      <xdr:spPr>
        <a:xfrm rot="679242">
          <a:off x="4991100" y="1333500"/>
          <a:ext cx="2009775" cy="6477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nl-BE" sz="1100"/>
            <a:t>1.</a:t>
          </a:r>
          <a:r>
            <a:rPr lang="nl-BE" sz="1100" baseline="0"/>
            <a:t> </a:t>
          </a:r>
          <a:r>
            <a:rPr lang="nl-BE" sz="1100"/>
            <a:t>VUL DE</a:t>
          </a:r>
          <a:r>
            <a:rPr lang="nl-BE" sz="1100" baseline="0"/>
            <a:t> NAMEN IN</a:t>
          </a:r>
          <a:endParaRPr lang="nl-BE" sz="1100"/>
        </a:p>
      </xdr:txBody>
    </xdr:sp>
    <xdr:clientData/>
  </xdr:twoCellAnchor>
  <xdr:twoCellAnchor>
    <xdr:from>
      <xdr:col>5</xdr:col>
      <xdr:colOff>114300</xdr:colOff>
      <xdr:row>6</xdr:row>
      <xdr:rowOff>104776</xdr:rowOff>
    </xdr:from>
    <xdr:to>
      <xdr:col>8</xdr:col>
      <xdr:colOff>295275</xdr:colOff>
      <xdr:row>11</xdr:row>
      <xdr:rowOff>161926</xdr:rowOff>
    </xdr:to>
    <xdr:sp macro="" textlink="">
      <xdr:nvSpPr>
        <xdr:cNvPr id="3" name="Pijl: links 2">
          <a:extLst>
            <a:ext uri="{FF2B5EF4-FFF2-40B4-BE49-F238E27FC236}">
              <a16:creationId xmlns:a16="http://schemas.microsoft.com/office/drawing/2014/main" id="{33A97BEB-325D-4FD6-B05B-A0B52CBBB26B}"/>
            </a:ext>
          </a:extLst>
        </xdr:cNvPr>
        <xdr:cNvSpPr/>
      </xdr:nvSpPr>
      <xdr:spPr>
        <a:xfrm rot="19340021">
          <a:off x="5381625" y="2209801"/>
          <a:ext cx="2009775" cy="1009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nl-BE" sz="1100"/>
            <a:t>2.</a:t>
          </a:r>
          <a:r>
            <a:rPr lang="nl-BE" sz="1100" baseline="0"/>
            <a:t> </a:t>
          </a:r>
          <a:r>
            <a:rPr lang="nl-BE" sz="1100"/>
            <a:t>VUL DE</a:t>
          </a:r>
          <a:r>
            <a:rPr lang="nl-BE" sz="1100" baseline="0"/>
            <a:t> Checklist in op de volgende tabbladen</a:t>
          </a:r>
          <a:endParaRPr lang="nl-BE" sz="1100"/>
        </a:p>
      </xdr:txBody>
    </xdr: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845F8-F370-4330-BD00-FD12EF715857}">
  <dimension ref="B1:D12"/>
  <sheetViews>
    <sheetView tabSelected="1" workbookViewId="0">
      <selection activeCell="D11" sqref="D11"/>
    </sheetView>
  </sheetViews>
  <sheetFormatPr defaultRowHeight="15"/>
  <cols>
    <col min="1" max="1" width="9.140625" style="31"/>
    <col min="2" max="2" width="27" style="31" customWidth="1"/>
    <col min="3" max="3" width="16.140625" style="31" customWidth="1"/>
    <col min="4" max="4" width="17.5703125" style="31" customWidth="1"/>
    <col min="5" max="16384" width="9.140625" style="31"/>
  </cols>
  <sheetData>
    <row r="1" spans="2:4" ht="90.75" customHeight="1" thickBot="1"/>
    <row r="2" spans="2:4">
      <c r="B2" s="45" t="s">
        <v>0</v>
      </c>
      <c r="C2" s="46"/>
      <c r="D2" s="47"/>
    </row>
    <row r="3" spans="2:4">
      <c r="B3" s="35" t="s">
        <v>1</v>
      </c>
      <c r="C3" s="43" t="s">
        <v>2</v>
      </c>
      <c r="D3" s="44"/>
    </row>
    <row r="4" spans="2:4">
      <c r="B4" s="35" t="s">
        <v>3</v>
      </c>
      <c r="C4" s="43" t="s">
        <v>4</v>
      </c>
      <c r="D4" s="44"/>
    </row>
    <row r="5" spans="2:4">
      <c r="B5" s="35" t="s">
        <v>5</v>
      </c>
      <c r="C5" s="43" t="s">
        <v>6</v>
      </c>
      <c r="D5" s="44"/>
    </row>
    <row r="6" spans="2:4">
      <c r="B6" s="36" t="s">
        <v>7</v>
      </c>
      <c r="C6" s="34" t="s">
        <v>8</v>
      </c>
      <c r="D6" s="37" t="s">
        <v>9</v>
      </c>
    </row>
    <row r="7" spans="2:4">
      <c r="B7" s="35" t="s">
        <v>10</v>
      </c>
      <c r="C7" s="32">
        <f>SUM(COUNTIF(Checklist_RobotProject!C2:C27,TRUE))/26</f>
        <v>0.76923076923076927</v>
      </c>
      <c r="D7" s="38">
        <f>SUM(COUNTIF(Checklist_RobotProject!D2:D27,TRUE))/26</f>
        <v>0.76923076923076927</v>
      </c>
    </row>
    <row r="8" spans="2:4">
      <c r="B8" s="35" t="s">
        <v>11</v>
      </c>
      <c r="C8" s="33">
        <f>COUNTIF(Checklist_RobotProject!C28:C65,TRUE)</f>
        <v>4</v>
      </c>
      <c r="D8" s="39">
        <f>COUNTIF(Checklist_RobotProject!D28:D65,TRUE)</f>
        <v>4</v>
      </c>
    </row>
    <row r="9" spans="2:4">
      <c r="B9" s="36" t="s">
        <v>12</v>
      </c>
      <c r="C9" s="34" t="s">
        <v>8</v>
      </c>
      <c r="D9" s="37" t="s">
        <v>9</v>
      </c>
    </row>
    <row r="10" spans="2:4">
      <c r="B10" s="35" t="str">
        <f>C3</f>
        <v>Robbie Vandeputte</v>
      </c>
      <c r="C10" s="32">
        <f>SUM(COUNTIF(Skills_Robbie!C3:C23,TRUE))/21</f>
        <v>0.80952380952380953</v>
      </c>
      <c r="D10" s="38">
        <f>SUM(COUNTIF(Skills_Robbie!D3:D23,TRUE))/21</f>
        <v>0.5714285714285714</v>
      </c>
    </row>
    <row r="11" spans="2:4">
      <c r="B11" s="35" t="str">
        <f t="shared" ref="B11:B12" si="0">C4</f>
        <v>Yassin Kasmi</v>
      </c>
      <c r="C11" s="32">
        <f>SUM(COUNTIF(Skills_Yassin!C3:C23,TRUE))/21</f>
        <v>0</v>
      </c>
      <c r="D11" s="32">
        <f>SUM(COUNTIF(Skills_Yassin!D3:D23,TRUE))/21</f>
        <v>0</v>
      </c>
    </row>
    <row r="12" spans="2:4" ht="15.75" thickBot="1">
      <c r="B12" s="40" t="str">
        <f t="shared" si="0"/>
        <v>Bullen Daan</v>
      </c>
      <c r="C12" s="41">
        <f>SUM(COUNTIF(Skills_Daan!C3:C23,TRUE))/21</f>
        <v>0</v>
      </c>
      <c r="D12" s="41">
        <f>SUM(COUNTIF(Skills_Daan!D3:D23,TRUE))/21</f>
        <v>0</v>
      </c>
    </row>
  </sheetData>
  <mergeCells count="4">
    <mergeCell ref="C3:D3"/>
    <mergeCell ref="C5:D5"/>
    <mergeCell ref="C4:D4"/>
    <mergeCell ref="B2:D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B2592-A1A6-4779-AF43-6D61A36B4DBE}">
  <dimension ref="A1:P66"/>
  <sheetViews>
    <sheetView topLeftCell="A23" workbookViewId="0">
      <selection activeCell="G15" sqref="G15"/>
    </sheetView>
  </sheetViews>
  <sheetFormatPr defaultRowHeight="15"/>
  <cols>
    <col min="1" max="1" width="5.28515625" style="1" customWidth="1"/>
    <col min="2" max="2" width="102" style="1" bestFit="1" customWidth="1"/>
    <col min="3" max="3" width="13.5703125" style="1" customWidth="1"/>
    <col min="4" max="4" width="16.28515625" style="1" customWidth="1"/>
    <col min="5" max="5" width="11.28515625" style="1" customWidth="1"/>
    <col min="6" max="16384" width="9.140625" style="1"/>
  </cols>
  <sheetData>
    <row r="1" spans="1:16">
      <c r="A1" s="13"/>
      <c r="B1" s="14" t="s">
        <v>13</v>
      </c>
      <c r="C1" s="14" t="s">
        <v>14</v>
      </c>
      <c r="D1" s="15" t="s">
        <v>15</v>
      </c>
    </row>
    <row r="2" spans="1:16" ht="14.1" customHeight="1">
      <c r="A2" s="16" t="s">
        <v>16</v>
      </c>
      <c r="B2" s="2" t="s">
        <v>17</v>
      </c>
      <c r="C2" s="3" t="b">
        <v>1</v>
      </c>
      <c r="D2" s="17" t="b">
        <v>1</v>
      </c>
      <c r="E2" s="1">
        <f t="shared" ref="E2:E9" si="0">C2+D2</f>
        <v>2</v>
      </c>
    </row>
    <row r="3" spans="1:16" ht="14.1" customHeight="1">
      <c r="A3" s="16" t="s">
        <v>16</v>
      </c>
      <c r="B3" s="4" t="s">
        <v>18</v>
      </c>
      <c r="C3" s="5" t="b">
        <v>1</v>
      </c>
      <c r="D3" s="18" t="b">
        <v>1</v>
      </c>
      <c r="E3" s="1">
        <f t="shared" si="0"/>
        <v>2</v>
      </c>
      <c r="P3" s="1">
        <v>0</v>
      </c>
    </row>
    <row r="4" spans="1:16" ht="14.1" customHeight="1">
      <c r="A4" s="16" t="s">
        <v>16</v>
      </c>
      <c r="B4" s="4" t="s">
        <v>19</v>
      </c>
      <c r="C4" s="5" t="b">
        <v>1</v>
      </c>
      <c r="D4" s="18" t="b">
        <v>1</v>
      </c>
      <c r="E4" s="1">
        <f t="shared" si="0"/>
        <v>2</v>
      </c>
      <c r="P4" s="1">
        <v>1</v>
      </c>
    </row>
    <row r="5" spans="1:16" ht="14.1" customHeight="1">
      <c r="A5" s="16" t="s">
        <v>16</v>
      </c>
      <c r="B5" s="4" t="s">
        <v>20</v>
      </c>
      <c r="C5" s="5" t="b">
        <v>0</v>
      </c>
      <c r="D5" s="18" t="b">
        <v>0</v>
      </c>
      <c r="E5" s="42" t="s">
        <v>21</v>
      </c>
      <c r="P5" s="1">
        <v>2</v>
      </c>
    </row>
    <row r="6" spans="1:16" ht="14.1" customHeight="1">
      <c r="A6" s="16" t="s">
        <v>16</v>
      </c>
      <c r="B6" s="4" t="s">
        <v>22</v>
      </c>
      <c r="C6" s="5" t="b">
        <v>1</v>
      </c>
      <c r="D6" s="18" t="b">
        <v>1</v>
      </c>
      <c r="E6" s="1">
        <f t="shared" si="0"/>
        <v>2</v>
      </c>
      <c r="P6" s="1">
        <v>3</v>
      </c>
    </row>
    <row r="7" spans="1:16" ht="13.5" customHeight="1">
      <c r="A7" s="16" t="s">
        <v>16</v>
      </c>
      <c r="B7" s="4" t="s">
        <v>23</v>
      </c>
      <c r="C7" s="5" t="b">
        <v>1</v>
      </c>
      <c r="D7" s="18" t="b">
        <v>1</v>
      </c>
      <c r="E7" s="1">
        <f t="shared" si="0"/>
        <v>2</v>
      </c>
      <c r="P7" s="1">
        <v>4</v>
      </c>
    </row>
    <row r="8" spans="1:16" ht="14.1" customHeight="1">
      <c r="A8" s="16" t="s">
        <v>16</v>
      </c>
      <c r="B8" s="4" t="s">
        <v>24</v>
      </c>
      <c r="C8" s="5" t="b">
        <v>1</v>
      </c>
      <c r="D8" s="18" t="b">
        <v>1</v>
      </c>
      <c r="E8" s="1">
        <f t="shared" si="0"/>
        <v>2</v>
      </c>
      <c r="P8" s="1">
        <v>5</v>
      </c>
    </row>
    <row r="9" spans="1:16" ht="14.1" customHeight="1">
      <c r="A9" s="16" t="s">
        <v>16</v>
      </c>
      <c r="B9" s="4" t="s">
        <v>25</v>
      </c>
      <c r="C9" s="5" t="b">
        <v>0</v>
      </c>
      <c r="D9" s="18" t="b">
        <v>0</v>
      </c>
      <c r="E9" s="42" t="s">
        <v>26</v>
      </c>
      <c r="P9" s="1">
        <v>6</v>
      </c>
    </row>
    <row r="10" spans="1:16" ht="14.1" customHeight="1">
      <c r="A10" s="16" t="s">
        <v>16</v>
      </c>
      <c r="B10" s="4" t="s">
        <v>27</v>
      </c>
      <c r="C10" s="5" t="b">
        <v>1</v>
      </c>
      <c r="D10" s="18" t="b">
        <v>1</v>
      </c>
      <c r="E10" s="1">
        <f t="shared" ref="E10:E12" si="1">C10+D10</f>
        <v>2</v>
      </c>
      <c r="P10" s="1">
        <v>7</v>
      </c>
    </row>
    <row r="11" spans="1:16" ht="14.1" customHeight="1">
      <c r="A11" s="16" t="s">
        <v>16</v>
      </c>
      <c r="B11" s="4" t="s">
        <v>28</v>
      </c>
      <c r="C11" s="5" t="b">
        <v>1</v>
      </c>
      <c r="D11" s="18" t="b">
        <v>1</v>
      </c>
      <c r="E11" s="1">
        <f t="shared" si="1"/>
        <v>2</v>
      </c>
      <c r="P11" s="1">
        <v>8</v>
      </c>
    </row>
    <row r="12" spans="1:16" ht="14.1" customHeight="1">
      <c r="A12" s="16" t="s">
        <v>16</v>
      </c>
      <c r="B12" s="4" t="s">
        <v>29</v>
      </c>
      <c r="C12" s="5" t="b">
        <v>1</v>
      </c>
      <c r="D12" s="18" t="b">
        <v>1</v>
      </c>
      <c r="E12" s="1">
        <f t="shared" si="1"/>
        <v>2</v>
      </c>
      <c r="P12" s="1">
        <v>9</v>
      </c>
    </row>
    <row r="13" spans="1:16" ht="14.1" customHeight="1">
      <c r="A13" s="16" t="s">
        <v>16</v>
      </c>
      <c r="B13" s="4" t="s">
        <v>30</v>
      </c>
      <c r="C13" s="5" t="b">
        <v>1</v>
      </c>
      <c r="D13" s="18" t="b">
        <v>1</v>
      </c>
      <c r="E13" s="1">
        <f t="shared" ref="E13:E43" si="2">C13+D13</f>
        <v>2</v>
      </c>
      <c r="P13" s="1">
        <v>10</v>
      </c>
    </row>
    <row r="14" spans="1:16" ht="14.1" customHeight="1">
      <c r="A14" s="16" t="s">
        <v>16</v>
      </c>
      <c r="B14" s="4" t="s">
        <v>31</v>
      </c>
      <c r="C14" s="5" t="b">
        <v>1</v>
      </c>
      <c r="D14" s="18" t="b">
        <v>1</v>
      </c>
      <c r="E14" s="1">
        <f t="shared" si="2"/>
        <v>2</v>
      </c>
    </row>
    <row r="15" spans="1:16" ht="14.1" customHeight="1">
      <c r="A15" s="16" t="s">
        <v>16</v>
      </c>
      <c r="B15" s="4" t="s">
        <v>32</v>
      </c>
      <c r="C15" s="5" t="b">
        <v>0</v>
      </c>
      <c r="D15" s="18" t="b">
        <v>0</v>
      </c>
      <c r="E15" s="42" t="s">
        <v>26</v>
      </c>
    </row>
    <row r="16" spans="1:16" ht="14.1" customHeight="1">
      <c r="A16" s="16" t="s">
        <v>16</v>
      </c>
      <c r="B16" s="4" t="s">
        <v>33</v>
      </c>
      <c r="C16" s="5" t="b">
        <v>1</v>
      </c>
      <c r="D16" s="18" t="b">
        <v>1</v>
      </c>
      <c r="E16" s="1">
        <f t="shared" si="2"/>
        <v>2</v>
      </c>
    </row>
    <row r="17" spans="1:5" ht="14.1" customHeight="1">
      <c r="A17" s="16" t="s">
        <v>16</v>
      </c>
      <c r="B17" s="4" t="s">
        <v>34</v>
      </c>
      <c r="C17" s="5" t="b">
        <v>0</v>
      </c>
      <c r="D17" s="18" t="b">
        <v>0</v>
      </c>
      <c r="E17" s="42" t="s">
        <v>35</v>
      </c>
    </row>
    <row r="18" spans="1:5" ht="14.1" customHeight="1">
      <c r="A18" s="16" t="s">
        <v>16</v>
      </c>
      <c r="B18" s="4" t="s">
        <v>36</v>
      </c>
      <c r="C18" s="5" t="b">
        <v>0</v>
      </c>
      <c r="D18" s="18" t="b">
        <v>0</v>
      </c>
      <c r="E18" s="1">
        <f t="shared" si="2"/>
        <v>0</v>
      </c>
    </row>
    <row r="19" spans="1:5" ht="14.1" customHeight="1">
      <c r="A19" s="16" t="s">
        <v>16</v>
      </c>
      <c r="B19" s="4" t="s">
        <v>37</v>
      </c>
      <c r="C19" s="5" t="b">
        <v>1</v>
      </c>
      <c r="D19" s="18" t="b">
        <v>1</v>
      </c>
      <c r="E19" s="1">
        <f t="shared" si="2"/>
        <v>2</v>
      </c>
    </row>
    <row r="20" spans="1:5" ht="14.1" customHeight="1">
      <c r="A20" s="16" t="s">
        <v>16</v>
      </c>
      <c r="B20" s="4" t="s">
        <v>38</v>
      </c>
      <c r="C20" s="5" t="b">
        <v>1</v>
      </c>
      <c r="D20" s="18" t="b">
        <v>1</v>
      </c>
      <c r="E20" s="42"/>
    </row>
    <row r="21" spans="1:5" ht="14.1" customHeight="1">
      <c r="A21" s="16" t="s">
        <v>16</v>
      </c>
      <c r="B21" s="4" t="s">
        <v>39</v>
      </c>
      <c r="C21" s="5" t="b">
        <v>1</v>
      </c>
      <c r="D21" s="18" t="b">
        <v>1</v>
      </c>
      <c r="E21" s="1">
        <f t="shared" si="2"/>
        <v>2</v>
      </c>
    </row>
    <row r="22" spans="1:5" ht="14.1" customHeight="1">
      <c r="A22" s="16" t="s">
        <v>16</v>
      </c>
      <c r="B22" s="4" t="s">
        <v>40</v>
      </c>
      <c r="C22" s="5" t="b">
        <v>1</v>
      </c>
      <c r="D22" s="18" t="b">
        <v>1</v>
      </c>
      <c r="E22" s="1">
        <f t="shared" si="2"/>
        <v>2</v>
      </c>
    </row>
    <row r="23" spans="1:5" ht="14.1" customHeight="1">
      <c r="A23" s="16" t="s">
        <v>16</v>
      </c>
      <c r="B23" s="6" t="s">
        <v>41</v>
      </c>
      <c r="C23" s="5" t="b">
        <v>0</v>
      </c>
      <c r="D23" s="18" t="b">
        <v>0</v>
      </c>
      <c r="E23" s="42" t="s">
        <v>26</v>
      </c>
    </row>
    <row r="24" spans="1:5" ht="14.1" customHeight="1">
      <c r="A24" s="16" t="s">
        <v>16</v>
      </c>
      <c r="B24" s="4" t="s">
        <v>42</v>
      </c>
      <c r="C24" s="5" t="b">
        <v>1</v>
      </c>
      <c r="D24" s="18" t="b">
        <v>1</v>
      </c>
      <c r="E24" s="1">
        <f t="shared" si="2"/>
        <v>2</v>
      </c>
    </row>
    <row r="25" spans="1:5" ht="14.1" customHeight="1">
      <c r="A25" s="16" t="s">
        <v>16</v>
      </c>
      <c r="B25" s="4" t="s">
        <v>43</v>
      </c>
      <c r="C25" s="5" t="b">
        <v>1</v>
      </c>
      <c r="D25" s="18" t="b">
        <v>1</v>
      </c>
      <c r="E25" s="1">
        <f t="shared" si="2"/>
        <v>2</v>
      </c>
    </row>
    <row r="26" spans="1:5" ht="14.1" customHeight="1">
      <c r="A26" s="16" t="s">
        <v>16</v>
      </c>
      <c r="B26" s="4" t="s">
        <v>44</v>
      </c>
      <c r="C26" s="5" t="b">
        <v>1</v>
      </c>
      <c r="D26" s="18" t="b">
        <v>1</v>
      </c>
      <c r="E26" s="1">
        <f t="shared" si="2"/>
        <v>2</v>
      </c>
    </row>
    <row r="27" spans="1:5" ht="14.1" customHeight="1" thickBot="1">
      <c r="A27" s="16" t="s">
        <v>16</v>
      </c>
      <c r="B27" s="24" t="s">
        <v>45</v>
      </c>
      <c r="C27" s="12" t="b">
        <v>1</v>
      </c>
      <c r="D27" s="25" t="b">
        <v>1</v>
      </c>
      <c r="E27" s="1">
        <f t="shared" si="2"/>
        <v>2</v>
      </c>
    </row>
    <row r="28" spans="1:5" ht="14.1" customHeight="1" thickTop="1">
      <c r="A28" s="26" t="s">
        <v>46</v>
      </c>
      <c r="B28" s="27" t="s">
        <v>47</v>
      </c>
      <c r="C28" s="28" t="b">
        <v>1</v>
      </c>
      <c r="D28" s="29" t="b">
        <v>1</v>
      </c>
      <c r="E28" s="1">
        <f t="shared" si="2"/>
        <v>2</v>
      </c>
    </row>
    <row r="29" spans="1:5" ht="14.1" customHeight="1">
      <c r="A29" s="16" t="s">
        <v>46</v>
      </c>
      <c r="B29" s="7" t="s">
        <v>48</v>
      </c>
      <c r="C29" s="5" t="b">
        <v>0</v>
      </c>
      <c r="D29" s="18" t="b">
        <v>0</v>
      </c>
      <c r="E29" s="1">
        <f t="shared" si="2"/>
        <v>0</v>
      </c>
    </row>
    <row r="30" spans="1:5" ht="14.1" customHeight="1">
      <c r="A30" s="16" t="s">
        <v>46</v>
      </c>
      <c r="B30" s="7" t="s">
        <v>49</v>
      </c>
      <c r="C30" s="5" t="b">
        <v>0</v>
      </c>
      <c r="D30" s="18" t="b">
        <v>0</v>
      </c>
      <c r="E30" s="1">
        <f t="shared" si="2"/>
        <v>0</v>
      </c>
    </row>
    <row r="31" spans="1:5" ht="14.1" customHeight="1">
      <c r="A31" s="16" t="s">
        <v>46</v>
      </c>
      <c r="B31" s="7" t="s">
        <v>50</v>
      </c>
      <c r="C31" s="5" t="b">
        <v>0</v>
      </c>
      <c r="D31" s="18" t="b">
        <v>0</v>
      </c>
      <c r="E31" s="1">
        <f t="shared" si="2"/>
        <v>0</v>
      </c>
    </row>
    <row r="32" spans="1:5" ht="14.1" customHeight="1">
      <c r="A32" s="16" t="s">
        <v>46</v>
      </c>
      <c r="B32" s="7" t="s">
        <v>51</v>
      </c>
      <c r="C32" s="5" t="b">
        <v>0</v>
      </c>
      <c r="D32" s="18" t="b">
        <v>0</v>
      </c>
      <c r="E32" s="1">
        <f t="shared" si="2"/>
        <v>0</v>
      </c>
    </row>
    <row r="33" spans="1:5" ht="14.1" customHeight="1">
      <c r="A33" s="16" t="s">
        <v>46</v>
      </c>
      <c r="B33" s="7" t="s">
        <v>52</v>
      </c>
      <c r="C33" s="5" t="b">
        <v>0</v>
      </c>
      <c r="D33" s="18" t="b">
        <v>0</v>
      </c>
      <c r="E33" s="1">
        <f t="shared" si="2"/>
        <v>0</v>
      </c>
    </row>
    <row r="34" spans="1:5" ht="14.1" customHeight="1">
      <c r="A34" s="16" t="s">
        <v>46</v>
      </c>
      <c r="B34" s="7" t="s">
        <v>53</v>
      </c>
      <c r="C34" s="5" t="b">
        <v>0</v>
      </c>
      <c r="D34" s="18" t="b">
        <v>0</v>
      </c>
      <c r="E34" s="1">
        <f t="shared" si="2"/>
        <v>0</v>
      </c>
    </row>
    <row r="35" spans="1:5" ht="14.1" customHeight="1">
      <c r="A35" s="16" t="s">
        <v>46</v>
      </c>
      <c r="B35" s="7" t="s">
        <v>54</v>
      </c>
      <c r="C35" s="5" t="b">
        <v>0</v>
      </c>
      <c r="D35" s="18" t="b">
        <v>0</v>
      </c>
      <c r="E35" s="1">
        <f t="shared" si="2"/>
        <v>0</v>
      </c>
    </row>
    <row r="36" spans="1:5" ht="14.1" customHeight="1">
      <c r="A36" s="16" t="s">
        <v>46</v>
      </c>
      <c r="B36" s="7" t="s">
        <v>55</v>
      </c>
      <c r="C36" s="5" t="b">
        <v>0</v>
      </c>
      <c r="D36" s="18" t="b">
        <v>0</v>
      </c>
      <c r="E36" s="1">
        <f t="shared" si="2"/>
        <v>0</v>
      </c>
    </row>
    <row r="37" spans="1:5" ht="14.1" customHeight="1">
      <c r="A37" s="16" t="s">
        <v>46</v>
      </c>
      <c r="B37" s="7" t="s">
        <v>56</v>
      </c>
      <c r="C37" s="5" t="b">
        <v>0</v>
      </c>
      <c r="D37" s="18" t="b">
        <v>0</v>
      </c>
      <c r="E37" s="1">
        <f t="shared" si="2"/>
        <v>0</v>
      </c>
    </row>
    <row r="38" spans="1:5" ht="14.1" customHeight="1">
      <c r="A38" s="16" t="s">
        <v>46</v>
      </c>
      <c r="B38" s="7" t="s">
        <v>57</v>
      </c>
      <c r="C38" s="5" t="b">
        <v>0</v>
      </c>
      <c r="D38" s="18" t="b">
        <v>0</v>
      </c>
      <c r="E38" s="1">
        <f t="shared" si="2"/>
        <v>0</v>
      </c>
    </row>
    <row r="39" spans="1:5" ht="14.1" customHeight="1">
      <c r="A39" s="16" t="s">
        <v>46</v>
      </c>
      <c r="B39" s="7" t="s">
        <v>58</v>
      </c>
      <c r="C39" s="5" t="b">
        <v>0</v>
      </c>
      <c r="D39" s="18" t="b">
        <v>0</v>
      </c>
      <c r="E39" s="1">
        <f t="shared" si="2"/>
        <v>0</v>
      </c>
    </row>
    <row r="40" spans="1:5" ht="14.1" customHeight="1">
      <c r="A40" s="16" t="s">
        <v>46</v>
      </c>
      <c r="B40" s="7" t="s">
        <v>59</v>
      </c>
      <c r="C40" s="5" t="b">
        <v>0</v>
      </c>
      <c r="D40" s="18" t="b">
        <v>0</v>
      </c>
      <c r="E40" s="1">
        <f t="shared" si="2"/>
        <v>0</v>
      </c>
    </row>
    <row r="41" spans="1:5" ht="14.1" customHeight="1">
      <c r="A41" s="16" t="s">
        <v>46</v>
      </c>
      <c r="B41" s="8" t="s">
        <v>60</v>
      </c>
      <c r="C41" s="5" t="b">
        <v>0</v>
      </c>
      <c r="D41" s="18" t="b">
        <v>0</v>
      </c>
      <c r="E41" s="1">
        <f t="shared" si="2"/>
        <v>0</v>
      </c>
    </row>
    <row r="42" spans="1:5" ht="14.1" customHeight="1">
      <c r="A42" s="16" t="s">
        <v>46</v>
      </c>
      <c r="B42" s="8" t="s">
        <v>61</v>
      </c>
      <c r="C42" s="5" t="b">
        <v>0</v>
      </c>
      <c r="D42" s="18" t="b">
        <v>0</v>
      </c>
      <c r="E42" s="1">
        <f t="shared" si="2"/>
        <v>0</v>
      </c>
    </row>
    <row r="43" spans="1:5" ht="14.1" customHeight="1">
      <c r="A43" s="16" t="s">
        <v>46</v>
      </c>
      <c r="B43" s="8" t="s">
        <v>62</v>
      </c>
      <c r="C43" s="5" t="b">
        <v>0</v>
      </c>
      <c r="D43" s="18" t="b">
        <v>0</v>
      </c>
      <c r="E43" s="1">
        <f t="shared" si="2"/>
        <v>0</v>
      </c>
    </row>
    <row r="44" spans="1:5" ht="14.1" customHeight="1">
      <c r="A44" s="16" t="s">
        <v>46</v>
      </c>
      <c r="B44" s="10" t="s">
        <v>63</v>
      </c>
      <c r="C44" s="5" t="b">
        <v>1</v>
      </c>
      <c r="D44" s="18" t="b">
        <v>1</v>
      </c>
      <c r="E44" s="1">
        <f t="shared" ref="E44:E50" si="3">C44+D44</f>
        <v>2</v>
      </c>
    </row>
    <row r="45" spans="1:5" ht="14.1" customHeight="1">
      <c r="A45" s="16" t="s">
        <v>46</v>
      </c>
      <c r="B45" s="10"/>
      <c r="C45" s="5" t="b">
        <v>0</v>
      </c>
      <c r="D45" s="18" t="b">
        <v>0</v>
      </c>
      <c r="E45" s="1">
        <f t="shared" si="3"/>
        <v>0</v>
      </c>
    </row>
    <row r="46" spans="1:5" ht="14.1" customHeight="1">
      <c r="A46" s="16" t="s">
        <v>46</v>
      </c>
      <c r="B46" s="10"/>
      <c r="C46" s="5" t="b">
        <v>0</v>
      </c>
      <c r="D46" s="18" t="b">
        <v>0</v>
      </c>
      <c r="E46" s="1">
        <f t="shared" si="3"/>
        <v>0</v>
      </c>
    </row>
    <row r="47" spans="1:5" ht="14.1" customHeight="1">
      <c r="A47" s="16" t="s">
        <v>46</v>
      </c>
      <c r="B47" s="10" t="s">
        <v>64</v>
      </c>
      <c r="C47" s="5" t="b">
        <v>0</v>
      </c>
      <c r="D47" s="18" t="b">
        <v>0</v>
      </c>
      <c r="E47" s="1">
        <f t="shared" si="3"/>
        <v>0</v>
      </c>
    </row>
    <row r="48" spans="1:5" ht="14.1" customHeight="1">
      <c r="A48" s="16" t="s">
        <v>46</v>
      </c>
      <c r="B48" s="10" t="s">
        <v>64</v>
      </c>
      <c r="C48" s="5" t="b">
        <v>0</v>
      </c>
      <c r="D48" s="18" t="b">
        <v>0</v>
      </c>
      <c r="E48" s="1">
        <f t="shared" si="3"/>
        <v>0</v>
      </c>
    </row>
    <row r="49" spans="1:5" ht="14.1" customHeight="1">
      <c r="A49" s="16" t="s">
        <v>46</v>
      </c>
      <c r="B49" s="10" t="s">
        <v>64</v>
      </c>
      <c r="C49" s="5" t="b">
        <v>0</v>
      </c>
      <c r="D49" s="18" t="b">
        <v>0</v>
      </c>
      <c r="E49" s="1">
        <f t="shared" si="3"/>
        <v>0</v>
      </c>
    </row>
    <row r="50" spans="1:5" ht="14.1" customHeight="1" thickBot="1">
      <c r="A50" s="16" t="s">
        <v>46</v>
      </c>
      <c r="B50" s="30" t="s">
        <v>64</v>
      </c>
      <c r="C50" s="12" t="b">
        <v>0</v>
      </c>
      <c r="D50" s="25" t="b">
        <v>0</v>
      </c>
      <c r="E50" s="1">
        <f t="shared" si="3"/>
        <v>0</v>
      </c>
    </row>
    <row r="51" spans="1:5" ht="14.1" customHeight="1" thickTop="1">
      <c r="A51" s="26" t="s">
        <v>65</v>
      </c>
      <c r="B51" s="27" t="s">
        <v>66</v>
      </c>
      <c r="C51" s="28" t="b">
        <v>0</v>
      </c>
      <c r="D51" s="29" t="b">
        <v>0</v>
      </c>
      <c r="E51" s="1">
        <f t="shared" ref="E51:E58" si="4">C51+D51</f>
        <v>0</v>
      </c>
    </row>
    <row r="52" spans="1:5" ht="14.1" customHeight="1">
      <c r="A52" s="16" t="s">
        <v>65</v>
      </c>
      <c r="B52" s="7" t="s">
        <v>67</v>
      </c>
      <c r="C52" s="5" t="b">
        <v>0</v>
      </c>
      <c r="D52" s="18" t="b">
        <v>0</v>
      </c>
      <c r="E52" s="1">
        <f t="shared" si="4"/>
        <v>0</v>
      </c>
    </row>
    <row r="53" spans="1:5" ht="14.1" customHeight="1">
      <c r="A53" s="16" t="s">
        <v>65</v>
      </c>
      <c r="B53" s="7" t="s">
        <v>68</v>
      </c>
      <c r="C53" s="5" t="b">
        <v>0</v>
      </c>
      <c r="D53" s="18" t="b">
        <v>0</v>
      </c>
      <c r="E53" s="1">
        <f t="shared" si="4"/>
        <v>0</v>
      </c>
    </row>
    <row r="54" spans="1:5" ht="14.1" customHeight="1">
      <c r="A54" s="16" t="s">
        <v>65</v>
      </c>
      <c r="B54" s="7" t="s">
        <v>69</v>
      </c>
      <c r="C54" s="5" t="b">
        <v>1</v>
      </c>
      <c r="D54" s="18" t="b">
        <v>1</v>
      </c>
      <c r="E54" s="1">
        <f t="shared" si="4"/>
        <v>2</v>
      </c>
    </row>
    <row r="55" spans="1:5" ht="14.1" customHeight="1">
      <c r="A55" s="16" t="s">
        <v>65</v>
      </c>
      <c r="B55" s="7" t="s">
        <v>70</v>
      </c>
      <c r="C55" s="5" t="b">
        <v>0</v>
      </c>
      <c r="D55" s="18" t="b">
        <v>0</v>
      </c>
      <c r="E55" s="1">
        <f t="shared" si="4"/>
        <v>0</v>
      </c>
    </row>
    <row r="56" spans="1:5" ht="14.1" customHeight="1">
      <c r="A56" s="16" t="s">
        <v>65</v>
      </c>
      <c r="B56" s="7" t="s">
        <v>71</v>
      </c>
      <c r="C56" s="5" t="b">
        <v>0</v>
      </c>
      <c r="D56" s="18" t="b">
        <v>0</v>
      </c>
      <c r="E56" s="1">
        <f t="shared" si="4"/>
        <v>0</v>
      </c>
    </row>
    <row r="57" spans="1:5" ht="14.1" customHeight="1">
      <c r="A57" s="16" t="s">
        <v>65</v>
      </c>
      <c r="B57" s="7" t="s">
        <v>72</v>
      </c>
      <c r="C57" s="5" t="b">
        <v>0</v>
      </c>
      <c r="D57" s="18" t="b">
        <v>0</v>
      </c>
      <c r="E57" s="1">
        <f t="shared" si="4"/>
        <v>0</v>
      </c>
    </row>
    <row r="58" spans="1:5" ht="14.1" customHeight="1">
      <c r="A58" s="16" t="s">
        <v>65</v>
      </c>
      <c r="B58" s="9" t="s">
        <v>73</v>
      </c>
      <c r="C58" s="5" t="b">
        <v>1</v>
      </c>
      <c r="D58" s="18" t="b">
        <v>1</v>
      </c>
      <c r="E58" s="1">
        <f t="shared" si="4"/>
        <v>2</v>
      </c>
    </row>
    <row r="59" spans="1:5" ht="14.1" customHeight="1">
      <c r="A59" s="16" t="s">
        <v>65</v>
      </c>
      <c r="B59" s="11" t="s">
        <v>64</v>
      </c>
      <c r="C59" s="5" t="b">
        <v>0</v>
      </c>
      <c r="D59" s="18" t="b">
        <v>0</v>
      </c>
      <c r="E59" s="1">
        <f t="shared" ref="E59:E65" si="5">C59+D59</f>
        <v>0</v>
      </c>
    </row>
    <row r="60" spans="1:5" ht="14.1" customHeight="1">
      <c r="A60" s="16" t="s">
        <v>65</v>
      </c>
      <c r="B60" s="11" t="s">
        <v>64</v>
      </c>
      <c r="C60" s="5" t="b">
        <v>0</v>
      </c>
      <c r="D60" s="18" t="b">
        <v>0</v>
      </c>
      <c r="E60" s="1">
        <f t="shared" si="5"/>
        <v>0</v>
      </c>
    </row>
    <row r="61" spans="1:5" ht="14.1" customHeight="1">
      <c r="A61" s="16" t="s">
        <v>65</v>
      </c>
      <c r="B61" s="11" t="s">
        <v>64</v>
      </c>
      <c r="C61" s="5" t="b">
        <v>0</v>
      </c>
      <c r="D61" s="18" t="b">
        <v>0</v>
      </c>
      <c r="E61" s="1">
        <f t="shared" si="5"/>
        <v>0</v>
      </c>
    </row>
    <row r="62" spans="1:5" ht="14.1" customHeight="1">
      <c r="A62" s="16" t="s">
        <v>65</v>
      </c>
      <c r="B62" s="11" t="s">
        <v>64</v>
      </c>
      <c r="C62" s="5" t="b">
        <v>0</v>
      </c>
      <c r="D62" s="18" t="b">
        <v>0</v>
      </c>
      <c r="E62" s="1">
        <f t="shared" si="5"/>
        <v>0</v>
      </c>
    </row>
    <row r="63" spans="1:5" ht="14.1" customHeight="1">
      <c r="A63" s="16" t="s">
        <v>65</v>
      </c>
      <c r="B63" s="11" t="s">
        <v>64</v>
      </c>
      <c r="C63" s="5" t="b">
        <v>0</v>
      </c>
      <c r="D63" s="18" t="b">
        <v>0</v>
      </c>
      <c r="E63" s="1">
        <f t="shared" si="5"/>
        <v>0</v>
      </c>
    </row>
    <row r="64" spans="1:5" ht="14.1" customHeight="1">
      <c r="A64" s="16" t="s">
        <v>65</v>
      </c>
      <c r="B64" s="11" t="s">
        <v>64</v>
      </c>
      <c r="C64" s="5" t="b">
        <v>0</v>
      </c>
      <c r="D64" s="18" t="b">
        <v>0</v>
      </c>
      <c r="E64" s="1">
        <f t="shared" si="5"/>
        <v>0</v>
      </c>
    </row>
    <row r="65" spans="1:5" ht="14.1" customHeight="1" thickBot="1">
      <c r="A65" s="19" t="s">
        <v>65</v>
      </c>
      <c r="B65" s="20" t="s">
        <v>64</v>
      </c>
      <c r="C65" s="21" t="b">
        <v>0</v>
      </c>
      <c r="D65" s="22" t="b">
        <v>0</v>
      </c>
      <c r="E65" s="1">
        <f t="shared" si="5"/>
        <v>0</v>
      </c>
    </row>
    <row r="66" spans="1:5" ht="14.1" customHeight="1"/>
  </sheetData>
  <conditionalFormatting sqref="B59:B65 B2:B57">
    <cfRule type="expression" dxfId="14" priority="1">
      <formula>$E2=2</formula>
    </cfRule>
    <cfRule type="expression" dxfId="13" priority="2">
      <formula>$E2=0</formula>
    </cfRule>
    <cfRule type="expression" dxfId="12" priority="3">
      <formula>$E2=1</formula>
    </cfRule>
  </conditionalFormatting>
  <conditionalFormatting sqref="B58">
    <cfRule type="expression" dxfId="11" priority="7">
      <formula>$E44=2</formula>
    </cfRule>
    <cfRule type="expression" dxfId="10" priority="8">
      <formula>$E44=0</formula>
    </cfRule>
    <cfRule type="expression" dxfId="9" priority="9">
      <formula>$E44=1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83C97-181B-44A8-BB6E-489236439E55}">
  <dimension ref="A1:P23"/>
  <sheetViews>
    <sheetView workbookViewId="0">
      <selection activeCell="D8" sqref="D8"/>
    </sheetView>
  </sheetViews>
  <sheetFormatPr defaultRowHeight="15"/>
  <cols>
    <col min="1" max="1" width="5.28515625" style="1" customWidth="1"/>
    <col min="2" max="2" width="84.140625" style="1" customWidth="1"/>
    <col min="3" max="3" width="13.5703125" style="1" customWidth="1"/>
    <col min="4" max="4" width="16.28515625" style="1" customWidth="1"/>
    <col min="5" max="5" width="11.28515625" style="1" customWidth="1"/>
    <col min="6" max="16384" width="9.140625" style="1"/>
  </cols>
  <sheetData>
    <row r="1" spans="1:16" ht="15.75" thickBot="1">
      <c r="B1" s="23" t="s">
        <v>74</v>
      </c>
    </row>
    <row r="2" spans="1:16">
      <c r="A2" s="13"/>
      <c r="B2" s="14" t="s">
        <v>13</v>
      </c>
      <c r="C2" s="14" t="s">
        <v>14</v>
      </c>
      <c r="D2" s="15" t="s">
        <v>15</v>
      </c>
    </row>
    <row r="3" spans="1:16" ht="14.1" customHeight="1">
      <c r="A3" s="16" t="s">
        <v>16</v>
      </c>
      <c r="B3" s="6" t="s">
        <v>75</v>
      </c>
      <c r="C3" s="3" t="b">
        <v>1</v>
      </c>
      <c r="D3" s="17" t="b">
        <v>0</v>
      </c>
      <c r="E3" s="1">
        <f t="shared" ref="E3:E10" si="0">C3+D3</f>
        <v>1</v>
      </c>
    </row>
    <row r="4" spans="1:16" ht="14.1" customHeight="1">
      <c r="A4" s="16" t="s">
        <v>16</v>
      </c>
      <c r="B4" s="4" t="s">
        <v>76</v>
      </c>
      <c r="C4" s="5" t="b">
        <v>1</v>
      </c>
      <c r="D4" s="18" t="b">
        <v>1</v>
      </c>
      <c r="E4" s="1">
        <f t="shared" si="0"/>
        <v>2</v>
      </c>
      <c r="P4" s="1">
        <v>0</v>
      </c>
    </row>
    <row r="5" spans="1:16" ht="14.1" customHeight="1">
      <c r="A5" s="16" t="s">
        <v>16</v>
      </c>
      <c r="B5" s="4" t="s">
        <v>77</v>
      </c>
      <c r="C5" s="5" t="b">
        <v>1</v>
      </c>
      <c r="D5" s="18" t="b">
        <v>1</v>
      </c>
      <c r="E5" s="1">
        <f t="shared" si="0"/>
        <v>2</v>
      </c>
      <c r="P5" s="1">
        <v>1</v>
      </c>
    </row>
    <row r="6" spans="1:16" ht="14.1" customHeight="1">
      <c r="A6" s="16" t="s">
        <v>16</v>
      </c>
      <c r="B6" s="6" t="s">
        <v>78</v>
      </c>
      <c r="C6" s="5" t="b">
        <v>1</v>
      </c>
      <c r="D6" s="18" t="b">
        <v>0</v>
      </c>
      <c r="E6" s="1">
        <f t="shared" si="0"/>
        <v>1</v>
      </c>
      <c r="P6" s="1">
        <v>2</v>
      </c>
    </row>
    <row r="7" spans="1:16" ht="14.1" customHeight="1">
      <c r="A7" s="16" t="s">
        <v>16</v>
      </c>
      <c r="B7" s="4" t="s">
        <v>79</v>
      </c>
      <c r="C7" s="5" t="b">
        <v>1</v>
      </c>
      <c r="D7" s="18" t="b">
        <v>0</v>
      </c>
      <c r="E7" s="1">
        <f t="shared" si="0"/>
        <v>1</v>
      </c>
      <c r="P7" s="1">
        <v>3</v>
      </c>
    </row>
    <row r="8" spans="1:16" ht="13.5" customHeight="1">
      <c r="A8" s="16" t="s">
        <v>16</v>
      </c>
      <c r="B8" s="4" t="s">
        <v>80</v>
      </c>
      <c r="C8" s="5" t="b">
        <v>0</v>
      </c>
      <c r="D8" s="18" t="b">
        <v>0</v>
      </c>
      <c r="E8" s="1">
        <f t="shared" si="0"/>
        <v>0</v>
      </c>
      <c r="P8" s="1">
        <v>4</v>
      </c>
    </row>
    <row r="9" spans="1:16" ht="14.1" customHeight="1">
      <c r="A9" s="16" t="s">
        <v>16</v>
      </c>
      <c r="B9" s="6" t="s">
        <v>81</v>
      </c>
      <c r="C9" s="5" t="b">
        <v>1</v>
      </c>
      <c r="D9" s="18" t="b">
        <v>1</v>
      </c>
      <c r="E9" s="1">
        <f t="shared" si="0"/>
        <v>2</v>
      </c>
      <c r="P9" s="1">
        <v>5</v>
      </c>
    </row>
    <row r="10" spans="1:16" ht="14.1" customHeight="1">
      <c r="A10" s="16" t="s">
        <v>16</v>
      </c>
      <c r="B10" s="4" t="s">
        <v>82</v>
      </c>
      <c r="C10" s="5" t="b">
        <v>1</v>
      </c>
      <c r="D10" s="18" t="b">
        <v>1</v>
      </c>
      <c r="E10" s="1">
        <f t="shared" si="0"/>
        <v>2</v>
      </c>
      <c r="P10" s="1">
        <v>6</v>
      </c>
    </row>
    <row r="11" spans="1:16" ht="14.1" customHeight="1">
      <c r="A11" s="16" t="s">
        <v>16</v>
      </c>
      <c r="B11" s="4" t="s">
        <v>83</v>
      </c>
      <c r="C11" s="5" t="b">
        <v>1</v>
      </c>
      <c r="D11" s="18" t="b">
        <v>1</v>
      </c>
      <c r="E11" s="1">
        <f t="shared" ref="E11:E13" si="1">C11+D11</f>
        <v>2</v>
      </c>
      <c r="P11" s="1">
        <v>7</v>
      </c>
    </row>
    <row r="12" spans="1:16" ht="14.1" customHeight="1">
      <c r="A12" s="16" t="s">
        <v>16</v>
      </c>
      <c r="B12" s="6" t="s">
        <v>84</v>
      </c>
      <c r="C12" s="5" t="b">
        <v>1</v>
      </c>
      <c r="D12" s="18" t="b">
        <v>1</v>
      </c>
      <c r="E12" s="1">
        <f t="shared" si="1"/>
        <v>2</v>
      </c>
      <c r="P12" s="1">
        <v>8</v>
      </c>
    </row>
    <row r="13" spans="1:16" ht="14.1" customHeight="1">
      <c r="A13" s="16" t="s">
        <v>16</v>
      </c>
      <c r="B13" s="4" t="s">
        <v>85</v>
      </c>
      <c r="C13" s="5" t="b">
        <v>0</v>
      </c>
      <c r="D13" s="18" t="b">
        <v>0</v>
      </c>
      <c r="E13" s="1">
        <f t="shared" si="1"/>
        <v>0</v>
      </c>
      <c r="P13" s="1">
        <v>9</v>
      </c>
    </row>
    <row r="14" spans="1:16" ht="14.1" customHeight="1">
      <c r="A14" s="16" t="s">
        <v>16</v>
      </c>
      <c r="B14" s="4" t="s">
        <v>86</v>
      </c>
      <c r="C14" s="5" t="b">
        <v>0</v>
      </c>
      <c r="D14" s="18" t="b">
        <v>0</v>
      </c>
      <c r="E14" s="1">
        <f t="shared" ref="E14:E23" si="2">C14+D14</f>
        <v>0</v>
      </c>
      <c r="P14" s="1">
        <v>10</v>
      </c>
    </row>
    <row r="15" spans="1:16" ht="14.1" customHeight="1">
      <c r="A15" s="16" t="s">
        <v>16</v>
      </c>
      <c r="B15" s="6" t="s">
        <v>87</v>
      </c>
      <c r="C15" s="5" t="b">
        <v>1</v>
      </c>
      <c r="D15" s="18" t="b">
        <v>0</v>
      </c>
      <c r="E15" s="1">
        <f t="shared" si="2"/>
        <v>1</v>
      </c>
    </row>
    <row r="16" spans="1:16" ht="14.1" customHeight="1">
      <c r="A16" s="16" t="s">
        <v>16</v>
      </c>
      <c r="B16" s="4" t="s">
        <v>88</v>
      </c>
      <c r="C16" s="5" t="b">
        <v>1</v>
      </c>
      <c r="D16" s="18" t="b">
        <v>1</v>
      </c>
      <c r="E16" s="1">
        <f t="shared" si="2"/>
        <v>2</v>
      </c>
    </row>
    <row r="17" spans="1:5" ht="14.1" customHeight="1">
      <c r="A17" s="16" t="s">
        <v>16</v>
      </c>
      <c r="B17" s="4" t="s">
        <v>89</v>
      </c>
      <c r="C17" s="5" t="b">
        <v>0</v>
      </c>
      <c r="D17" s="18" t="b">
        <v>0</v>
      </c>
      <c r="E17" s="1">
        <f t="shared" si="2"/>
        <v>0</v>
      </c>
    </row>
    <row r="18" spans="1:5" ht="14.1" customHeight="1">
      <c r="A18" s="16" t="s">
        <v>16</v>
      </c>
      <c r="B18" s="6" t="s">
        <v>90</v>
      </c>
      <c r="C18" s="5" t="b">
        <v>1</v>
      </c>
      <c r="D18" s="18" t="b">
        <v>1</v>
      </c>
      <c r="E18" s="1">
        <f t="shared" si="2"/>
        <v>2</v>
      </c>
    </row>
    <row r="19" spans="1:5" ht="14.1" customHeight="1">
      <c r="A19" s="16" t="s">
        <v>16</v>
      </c>
      <c r="B19" s="4" t="s">
        <v>91</v>
      </c>
      <c r="C19" s="5" t="b">
        <v>1</v>
      </c>
      <c r="D19" s="18" t="b">
        <v>1</v>
      </c>
      <c r="E19" s="1">
        <f t="shared" si="2"/>
        <v>2</v>
      </c>
    </row>
    <row r="20" spans="1:5" ht="14.1" customHeight="1">
      <c r="A20" s="16" t="s">
        <v>16</v>
      </c>
      <c r="B20" s="4" t="s">
        <v>92</v>
      </c>
      <c r="C20" s="5" t="b">
        <v>1</v>
      </c>
      <c r="D20" s="18" t="b">
        <v>1</v>
      </c>
      <c r="E20" s="1">
        <f t="shared" si="2"/>
        <v>2</v>
      </c>
    </row>
    <row r="21" spans="1:5" ht="14.1" customHeight="1">
      <c r="A21" s="16" t="s">
        <v>16</v>
      </c>
      <c r="B21" s="6" t="s">
        <v>93</v>
      </c>
      <c r="C21" s="5" t="b">
        <v>1</v>
      </c>
      <c r="D21" s="18" t="b">
        <v>0</v>
      </c>
      <c r="E21" s="1">
        <f t="shared" si="2"/>
        <v>1</v>
      </c>
    </row>
    <row r="22" spans="1:5" ht="14.1" customHeight="1">
      <c r="A22" s="16" t="s">
        <v>16</v>
      </c>
      <c r="B22" s="4" t="s">
        <v>94</v>
      </c>
      <c r="C22" s="5" t="b">
        <v>1</v>
      </c>
      <c r="D22" s="18" t="b">
        <v>1</v>
      </c>
      <c r="E22" s="1">
        <f t="shared" si="2"/>
        <v>2</v>
      </c>
    </row>
    <row r="23" spans="1:5" ht="14.1" customHeight="1">
      <c r="A23" s="16" t="s">
        <v>16</v>
      </c>
      <c r="B23" s="4" t="s">
        <v>95</v>
      </c>
      <c r="C23" s="5" t="b">
        <v>1</v>
      </c>
      <c r="D23" s="18" t="b">
        <v>1</v>
      </c>
      <c r="E23" s="1">
        <f t="shared" si="2"/>
        <v>2</v>
      </c>
    </row>
  </sheetData>
  <conditionalFormatting sqref="B3:B23">
    <cfRule type="expression" dxfId="8" priority="1">
      <formula>$E3=2</formula>
    </cfRule>
    <cfRule type="expression" dxfId="7" priority="2">
      <formula>$E3=0</formula>
    </cfRule>
    <cfRule type="expression" dxfId="6" priority="3">
      <formula>$E3=1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B1D17-6BDA-4959-A718-8E1ACE0FE31F}">
  <dimension ref="A1:P23"/>
  <sheetViews>
    <sheetView workbookViewId="0">
      <selection activeCell="H33" sqref="H33"/>
    </sheetView>
  </sheetViews>
  <sheetFormatPr defaultRowHeight="15"/>
  <cols>
    <col min="1" max="1" width="5.28515625" style="1" customWidth="1"/>
    <col min="2" max="2" width="84.140625" style="1" customWidth="1"/>
    <col min="3" max="3" width="13.5703125" style="1" customWidth="1"/>
    <col min="4" max="4" width="16.28515625" style="1" customWidth="1"/>
    <col min="5" max="5" width="11.28515625" style="1" customWidth="1"/>
    <col min="6" max="16384" width="9.140625" style="1"/>
  </cols>
  <sheetData>
    <row r="1" spans="1:16" ht="15.75" thickBot="1">
      <c r="B1" s="23" t="s">
        <v>96</v>
      </c>
    </row>
    <row r="2" spans="1:16">
      <c r="A2" s="13"/>
      <c r="B2" s="14" t="s">
        <v>13</v>
      </c>
      <c r="C2" s="14" t="s">
        <v>14</v>
      </c>
      <c r="D2" s="15" t="s">
        <v>15</v>
      </c>
    </row>
    <row r="3" spans="1:16" ht="14.1" customHeight="1">
      <c r="A3" s="16" t="s">
        <v>16</v>
      </c>
      <c r="B3" s="6" t="s">
        <v>75</v>
      </c>
      <c r="C3" s="3" t="b">
        <v>0</v>
      </c>
      <c r="D3" s="17" t="b">
        <v>0</v>
      </c>
      <c r="E3" s="1">
        <f t="shared" ref="E3:E10" si="0">C3+D3</f>
        <v>0</v>
      </c>
    </row>
    <row r="4" spans="1:16" ht="14.1" customHeight="1">
      <c r="A4" s="16" t="s">
        <v>16</v>
      </c>
      <c r="B4" s="4" t="s">
        <v>76</v>
      </c>
      <c r="C4" s="5" t="b">
        <v>0</v>
      </c>
      <c r="D4" s="18" t="b">
        <v>0</v>
      </c>
      <c r="E4" s="1">
        <f t="shared" si="0"/>
        <v>0</v>
      </c>
      <c r="P4" s="1">
        <v>0</v>
      </c>
    </row>
    <row r="5" spans="1:16" ht="14.1" customHeight="1">
      <c r="A5" s="16" t="s">
        <v>16</v>
      </c>
      <c r="B5" s="4" t="s">
        <v>77</v>
      </c>
      <c r="C5" s="5" t="b">
        <v>0</v>
      </c>
      <c r="D5" s="18" t="b">
        <v>0</v>
      </c>
      <c r="E5" s="1">
        <f t="shared" si="0"/>
        <v>0</v>
      </c>
      <c r="P5" s="1">
        <v>1</v>
      </c>
    </row>
    <row r="6" spans="1:16" ht="14.1" customHeight="1">
      <c r="A6" s="16" t="s">
        <v>16</v>
      </c>
      <c r="B6" s="6" t="s">
        <v>78</v>
      </c>
      <c r="C6" s="5" t="b">
        <v>0</v>
      </c>
      <c r="D6" s="18" t="b">
        <v>0</v>
      </c>
      <c r="E6" s="1">
        <f t="shared" si="0"/>
        <v>0</v>
      </c>
      <c r="P6" s="1">
        <v>2</v>
      </c>
    </row>
    <row r="7" spans="1:16" ht="14.1" customHeight="1">
      <c r="A7" s="16" t="s">
        <v>16</v>
      </c>
      <c r="B7" s="4" t="s">
        <v>79</v>
      </c>
      <c r="C7" s="5" t="b">
        <v>0</v>
      </c>
      <c r="D7" s="18" t="b">
        <v>0</v>
      </c>
      <c r="E7" s="1">
        <f t="shared" si="0"/>
        <v>0</v>
      </c>
      <c r="P7" s="1">
        <v>3</v>
      </c>
    </row>
    <row r="8" spans="1:16" ht="13.5" customHeight="1">
      <c r="A8" s="16" t="s">
        <v>16</v>
      </c>
      <c r="B8" s="4" t="s">
        <v>80</v>
      </c>
      <c r="C8" s="5" t="b">
        <v>0</v>
      </c>
      <c r="D8" s="18" t="b">
        <v>0</v>
      </c>
      <c r="E8" s="1">
        <f t="shared" si="0"/>
        <v>0</v>
      </c>
      <c r="P8" s="1">
        <v>4</v>
      </c>
    </row>
    <row r="9" spans="1:16" ht="14.1" customHeight="1">
      <c r="A9" s="16" t="s">
        <v>16</v>
      </c>
      <c r="B9" s="6" t="s">
        <v>81</v>
      </c>
      <c r="C9" s="5" t="b">
        <v>0</v>
      </c>
      <c r="D9" s="18" t="b">
        <v>0</v>
      </c>
      <c r="E9" s="1">
        <f t="shared" si="0"/>
        <v>0</v>
      </c>
      <c r="P9" s="1">
        <v>5</v>
      </c>
    </row>
    <row r="10" spans="1:16" ht="14.1" customHeight="1">
      <c r="A10" s="16" t="s">
        <v>16</v>
      </c>
      <c r="B10" s="4" t="s">
        <v>82</v>
      </c>
      <c r="C10" s="5" t="b">
        <v>0</v>
      </c>
      <c r="D10" s="18" t="b">
        <v>0</v>
      </c>
      <c r="E10" s="1">
        <f t="shared" si="0"/>
        <v>0</v>
      </c>
      <c r="P10" s="1">
        <v>6</v>
      </c>
    </row>
    <row r="11" spans="1:16" ht="14.1" customHeight="1">
      <c r="A11" s="16" t="s">
        <v>16</v>
      </c>
      <c r="B11" s="4" t="s">
        <v>83</v>
      </c>
      <c r="C11" s="5" t="b">
        <v>0</v>
      </c>
      <c r="D11" s="18" t="b">
        <v>0</v>
      </c>
      <c r="E11" s="1">
        <f t="shared" ref="E11:E13" si="1">C11+D11</f>
        <v>0</v>
      </c>
      <c r="P11" s="1">
        <v>7</v>
      </c>
    </row>
    <row r="12" spans="1:16" ht="14.1" customHeight="1">
      <c r="A12" s="16" t="s">
        <v>16</v>
      </c>
      <c r="B12" s="6" t="s">
        <v>84</v>
      </c>
      <c r="C12" s="5" t="b">
        <v>0</v>
      </c>
      <c r="D12" s="18" t="b">
        <v>0</v>
      </c>
      <c r="E12" s="1">
        <f t="shared" si="1"/>
        <v>0</v>
      </c>
      <c r="P12" s="1">
        <v>8</v>
      </c>
    </row>
    <row r="13" spans="1:16" ht="14.1" customHeight="1">
      <c r="A13" s="16" t="s">
        <v>16</v>
      </c>
      <c r="B13" s="4" t="s">
        <v>85</v>
      </c>
      <c r="C13" s="5" t="b">
        <v>0</v>
      </c>
      <c r="D13" s="18" t="b">
        <v>0</v>
      </c>
      <c r="E13" s="1">
        <f t="shared" si="1"/>
        <v>0</v>
      </c>
      <c r="P13" s="1">
        <v>9</v>
      </c>
    </row>
    <row r="14" spans="1:16" ht="14.1" customHeight="1">
      <c r="A14" s="16" t="s">
        <v>16</v>
      </c>
      <c r="B14" s="4" t="s">
        <v>86</v>
      </c>
      <c r="C14" s="5" t="b">
        <v>0</v>
      </c>
      <c r="D14" s="18" t="b">
        <v>0</v>
      </c>
      <c r="E14" s="1">
        <f t="shared" ref="E14:E23" si="2">C14+D14</f>
        <v>0</v>
      </c>
      <c r="P14" s="1">
        <v>10</v>
      </c>
    </row>
    <row r="15" spans="1:16" ht="14.1" customHeight="1">
      <c r="A15" s="16" t="s">
        <v>16</v>
      </c>
      <c r="B15" s="6" t="s">
        <v>87</v>
      </c>
      <c r="C15" s="5" t="b">
        <v>0</v>
      </c>
      <c r="D15" s="18" t="b">
        <v>0</v>
      </c>
      <c r="E15" s="1">
        <f t="shared" si="2"/>
        <v>0</v>
      </c>
    </row>
    <row r="16" spans="1:16" ht="14.1" customHeight="1">
      <c r="A16" s="16" t="s">
        <v>16</v>
      </c>
      <c r="B16" s="4" t="s">
        <v>88</v>
      </c>
      <c r="C16" s="5" t="b">
        <v>0</v>
      </c>
      <c r="D16" s="18" t="b">
        <v>0</v>
      </c>
      <c r="E16" s="1">
        <f t="shared" si="2"/>
        <v>0</v>
      </c>
    </row>
    <row r="17" spans="1:5" ht="14.1" customHeight="1">
      <c r="A17" s="16" t="s">
        <v>16</v>
      </c>
      <c r="B17" s="4" t="s">
        <v>89</v>
      </c>
      <c r="C17" s="5" t="b">
        <v>0</v>
      </c>
      <c r="D17" s="18" t="b">
        <v>0</v>
      </c>
      <c r="E17" s="1">
        <f t="shared" si="2"/>
        <v>0</v>
      </c>
    </row>
    <row r="18" spans="1:5" ht="14.1" customHeight="1">
      <c r="A18" s="16" t="s">
        <v>16</v>
      </c>
      <c r="B18" s="6" t="s">
        <v>90</v>
      </c>
      <c r="C18" s="5" t="b">
        <v>0</v>
      </c>
      <c r="D18" s="18" t="b">
        <v>0</v>
      </c>
      <c r="E18" s="1">
        <f t="shared" si="2"/>
        <v>0</v>
      </c>
    </row>
    <row r="19" spans="1:5" ht="14.1" customHeight="1">
      <c r="A19" s="16" t="s">
        <v>16</v>
      </c>
      <c r="B19" s="4" t="s">
        <v>91</v>
      </c>
      <c r="C19" s="5" t="b">
        <v>0</v>
      </c>
      <c r="D19" s="18" t="b">
        <v>0</v>
      </c>
      <c r="E19" s="1">
        <f t="shared" si="2"/>
        <v>0</v>
      </c>
    </row>
    <row r="20" spans="1:5" ht="14.1" customHeight="1">
      <c r="A20" s="16" t="s">
        <v>16</v>
      </c>
      <c r="B20" s="4" t="s">
        <v>92</v>
      </c>
      <c r="C20" s="5" t="b">
        <v>0</v>
      </c>
      <c r="D20" s="18" t="b">
        <v>0</v>
      </c>
      <c r="E20" s="1">
        <f t="shared" si="2"/>
        <v>0</v>
      </c>
    </row>
    <row r="21" spans="1:5" ht="14.1" customHeight="1">
      <c r="A21" s="16" t="s">
        <v>16</v>
      </c>
      <c r="B21" s="6" t="s">
        <v>93</v>
      </c>
      <c r="C21" s="5" t="b">
        <v>0</v>
      </c>
      <c r="D21" s="18" t="b">
        <v>0</v>
      </c>
      <c r="E21" s="1">
        <f t="shared" si="2"/>
        <v>0</v>
      </c>
    </row>
    <row r="22" spans="1:5" ht="14.1" customHeight="1">
      <c r="A22" s="16" t="s">
        <v>16</v>
      </c>
      <c r="B22" s="4" t="s">
        <v>94</v>
      </c>
      <c r="C22" s="5" t="b">
        <v>0</v>
      </c>
      <c r="D22" s="18" t="b">
        <v>0</v>
      </c>
      <c r="E22" s="1">
        <f t="shared" si="2"/>
        <v>0</v>
      </c>
    </row>
    <row r="23" spans="1:5" ht="14.1" customHeight="1">
      <c r="A23" s="16" t="s">
        <v>16</v>
      </c>
      <c r="B23" s="4" t="s">
        <v>95</v>
      </c>
      <c r="C23" s="5" t="b">
        <v>0</v>
      </c>
      <c r="D23" s="18" t="b">
        <v>0</v>
      </c>
      <c r="E23" s="1">
        <f t="shared" si="2"/>
        <v>0</v>
      </c>
    </row>
  </sheetData>
  <sheetProtection algorithmName="SHA-512" hashValue="SfFS7FTfcUkbm1tFR17vTFnrKSfT6vNp+26yiOSY5pefF4eC2TzpKrCTomzn0JPAYflvd7HWTfrgrrzl5kJ8AA==" saltValue="Oc1ecZmgKi9nLZ7WhlwWJA==" spinCount="100000" sheet="1" objects="1" scenarios="1"/>
  <conditionalFormatting sqref="B3:B23">
    <cfRule type="expression" dxfId="5" priority="1">
      <formula>$E3=2</formula>
    </cfRule>
    <cfRule type="expression" dxfId="4" priority="2">
      <formula>$E3=0</formula>
    </cfRule>
    <cfRule type="expression" dxfId="3" priority="3">
      <formula>$E3=1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0CD2A-B80B-4396-BB29-5380E5CC0252}">
  <dimension ref="A1:P23"/>
  <sheetViews>
    <sheetView workbookViewId="0">
      <selection activeCell="H33" sqref="H33"/>
    </sheetView>
  </sheetViews>
  <sheetFormatPr defaultRowHeight="15"/>
  <cols>
    <col min="1" max="1" width="5.28515625" style="1" customWidth="1"/>
    <col min="2" max="2" width="84.140625" style="1" customWidth="1"/>
    <col min="3" max="3" width="13.5703125" style="1" customWidth="1"/>
    <col min="4" max="4" width="16.28515625" style="1" customWidth="1"/>
    <col min="5" max="5" width="11.28515625" style="1" customWidth="1"/>
    <col min="6" max="16384" width="9.140625" style="1"/>
  </cols>
  <sheetData>
    <row r="1" spans="1:16" ht="15.75" thickBot="1">
      <c r="B1" s="23" t="s">
        <v>96</v>
      </c>
    </row>
    <row r="2" spans="1:16">
      <c r="A2" s="13"/>
      <c r="B2" s="14" t="s">
        <v>13</v>
      </c>
      <c r="C2" s="14" t="s">
        <v>14</v>
      </c>
      <c r="D2" s="15" t="s">
        <v>15</v>
      </c>
    </row>
    <row r="3" spans="1:16" ht="14.1" customHeight="1">
      <c r="A3" s="16" t="s">
        <v>16</v>
      </c>
      <c r="B3" s="6" t="s">
        <v>75</v>
      </c>
      <c r="C3" s="3" t="b">
        <v>0</v>
      </c>
      <c r="D3" s="17" t="b">
        <v>0</v>
      </c>
      <c r="E3" s="1">
        <f t="shared" ref="E3:E10" si="0">C3+D3</f>
        <v>0</v>
      </c>
    </row>
    <row r="4" spans="1:16" ht="14.1" customHeight="1">
      <c r="A4" s="16" t="s">
        <v>16</v>
      </c>
      <c r="B4" s="4" t="s">
        <v>76</v>
      </c>
      <c r="C4" s="5" t="b">
        <v>0</v>
      </c>
      <c r="D4" s="18" t="b">
        <v>0</v>
      </c>
      <c r="E4" s="1">
        <f t="shared" si="0"/>
        <v>0</v>
      </c>
      <c r="P4" s="1">
        <v>0</v>
      </c>
    </row>
    <row r="5" spans="1:16" ht="14.1" customHeight="1">
      <c r="A5" s="16" t="s">
        <v>16</v>
      </c>
      <c r="B5" s="4" t="s">
        <v>77</v>
      </c>
      <c r="C5" s="5" t="b">
        <v>0</v>
      </c>
      <c r="D5" s="18" t="b">
        <v>0</v>
      </c>
      <c r="E5" s="1">
        <f t="shared" si="0"/>
        <v>0</v>
      </c>
      <c r="P5" s="1">
        <v>1</v>
      </c>
    </row>
    <row r="6" spans="1:16" ht="14.1" customHeight="1">
      <c r="A6" s="16" t="s">
        <v>16</v>
      </c>
      <c r="B6" s="6" t="s">
        <v>78</v>
      </c>
      <c r="C6" s="5" t="b">
        <v>0</v>
      </c>
      <c r="D6" s="18" t="b">
        <v>0</v>
      </c>
      <c r="E6" s="1">
        <f t="shared" si="0"/>
        <v>0</v>
      </c>
      <c r="P6" s="1">
        <v>2</v>
      </c>
    </row>
    <row r="7" spans="1:16" ht="14.1" customHeight="1">
      <c r="A7" s="16" t="s">
        <v>16</v>
      </c>
      <c r="B7" s="4" t="s">
        <v>79</v>
      </c>
      <c r="C7" s="5" t="b">
        <v>0</v>
      </c>
      <c r="D7" s="18" t="b">
        <v>0</v>
      </c>
      <c r="E7" s="1">
        <f t="shared" si="0"/>
        <v>0</v>
      </c>
      <c r="P7" s="1">
        <v>3</v>
      </c>
    </row>
    <row r="8" spans="1:16" ht="13.5" customHeight="1">
      <c r="A8" s="16" t="s">
        <v>16</v>
      </c>
      <c r="B8" s="4" t="s">
        <v>80</v>
      </c>
      <c r="C8" s="5" t="b">
        <v>0</v>
      </c>
      <c r="D8" s="18" t="b">
        <v>0</v>
      </c>
      <c r="E8" s="1">
        <f t="shared" si="0"/>
        <v>0</v>
      </c>
      <c r="P8" s="1">
        <v>4</v>
      </c>
    </row>
    <row r="9" spans="1:16" ht="14.1" customHeight="1">
      <c r="A9" s="16" t="s">
        <v>16</v>
      </c>
      <c r="B9" s="6" t="s">
        <v>81</v>
      </c>
      <c r="C9" s="5" t="b">
        <v>0</v>
      </c>
      <c r="D9" s="18" t="b">
        <v>0</v>
      </c>
      <c r="E9" s="1">
        <f t="shared" si="0"/>
        <v>0</v>
      </c>
      <c r="P9" s="1">
        <v>5</v>
      </c>
    </row>
    <row r="10" spans="1:16" ht="14.1" customHeight="1">
      <c r="A10" s="16" t="s">
        <v>16</v>
      </c>
      <c r="B10" s="4" t="s">
        <v>82</v>
      </c>
      <c r="C10" s="5" t="b">
        <v>0</v>
      </c>
      <c r="D10" s="18" t="b">
        <v>0</v>
      </c>
      <c r="E10" s="1">
        <f t="shared" si="0"/>
        <v>0</v>
      </c>
      <c r="P10" s="1">
        <v>6</v>
      </c>
    </row>
    <row r="11" spans="1:16" ht="14.1" customHeight="1">
      <c r="A11" s="16" t="s">
        <v>16</v>
      </c>
      <c r="B11" s="4" t="s">
        <v>83</v>
      </c>
      <c r="C11" s="5" t="b">
        <v>0</v>
      </c>
      <c r="D11" s="18" t="b">
        <v>0</v>
      </c>
      <c r="E11" s="1">
        <f t="shared" ref="E11:E13" si="1">C11+D11</f>
        <v>0</v>
      </c>
      <c r="P11" s="1">
        <v>7</v>
      </c>
    </row>
    <row r="12" spans="1:16" ht="14.1" customHeight="1">
      <c r="A12" s="16" t="s">
        <v>16</v>
      </c>
      <c r="B12" s="6" t="s">
        <v>84</v>
      </c>
      <c r="C12" s="5" t="b">
        <v>0</v>
      </c>
      <c r="D12" s="18" t="b">
        <v>0</v>
      </c>
      <c r="E12" s="1">
        <f t="shared" si="1"/>
        <v>0</v>
      </c>
      <c r="P12" s="1">
        <v>8</v>
      </c>
    </row>
    <row r="13" spans="1:16" ht="14.1" customHeight="1">
      <c r="A13" s="16" t="s">
        <v>16</v>
      </c>
      <c r="B13" s="4" t="s">
        <v>85</v>
      </c>
      <c r="C13" s="5" t="b">
        <v>0</v>
      </c>
      <c r="D13" s="18" t="b">
        <v>0</v>
      </c>
      <c r="E13" s="1">
        <f t="shared" si="1"/>
        <v>0</v>
      </c>
      <c r="P13" s="1">
        <v>9</v>
      </c>
    </row>
    <row r="14" spans="1:16" ht="14.1" customHeight="1">
      <c r="A14" s="16" t="s">
        <v>16</v>
      </c>
      <c r="B14" s="4" t="s">
        <v>86</v>
      </c>
      <c r="C14" s="5" t="b">
        <v>0</v>
      </c>
      <c r="D14" s="18" t="b">
        <v>0</v>
      </c>
      <c r="E14" s="1">
        <f t="shared" ref="E14:E23" si="2">C14+D14</f>
        <v>0</v>
      </c>
      <c r="P14" s="1">
        <v>10</v>
      </c>
    </row>
    <row r="15" spans="1:16" ht="14.1" customHeight="1">
      <c r="A15" s="16" t="s">
        <v>16</v>
      </c>
      <c r="B15" s="6" t="s">
        <v>87</v>
      </c>
      <c r="C15" s="5" t="b">
        <v>0</v>
      </c>
      <c r="D15" s="18" t="b">
        <v>0</v>
      </c>
      <c r="E15" s="1">
        <f t="shared" si="2"/>
        <v>0</v>
      </c>
    </row>
    <row r="16" spans="1:16" ht="14.1" customHeight="1">
      <c r="A16" s="16" t="s">
        <v>16</v>
      </c>
      <c r="B16" s="4" t="s">
        <v>88</v>
      </c>
      <c r="C16" s="5" t="b">
        <v>0</v>
      </c>
      <c r="D16" s="18" t="b">
        <v>0</v>
      </c>
      <c r="E16" s="1">
        <f t="shared" si="2"/>
        <v>0</v>
      </c>
    </row>
    <row r="17" spans="1:5" ht="14.1" customHeight="1">
      <c r="A17" s="16" t="s">
        <v>16</v>
      </c>
      <c r="B17" s="4" t="s">
        <v>89</v>
      </c>
      <c r="C17" s="5" t="b">
        <v>0</v>
      </c>
      <c r="D17" s="18" t="b">
        <v>0</v>
      </c>
      <c r="E17" s="1">
        <f t="shared" si="2"/>
        <v>0</v>
      </c>
    </row>
    <row r="18" spans="1:5" ht="14.1" customHeight="1">
      <c r="A18" s="16" t="s">
        <v>16</v>
      </c>
      <c r="B18" s="6" t="s">
        <v>90</v>
      </c>
      <c r="C18" s="5" t="b">
        <v>0</v>
      </c>
      <c r="D18" s="18" t="b">
        <v>0</v>
      </c>
      <c r="E18" s="1">
        <f t="shared" si="2"/>
        <v>0</v>
      </c>
    </row>
    <row r="19" spans="1:5" ht="14.1" customHeight="1">
      <c r="A19" s="16" t="s">
        <v>16</v>
      </c>
      <c r="B19" s="4" t="s">
        <v>91</v>
      </c>
      <c r="C19" s="5" t="b">
        <v>0</v>
      </c>
      <c r="D19" s="18" t="b">
        <v>0</v>
      </c>
      <c r="E19" s="1">
        <f t="shared" si="2"/>
        <v>0</v>
      </c>
    </row>
    <row r="20" spans="1:5" ht="14.1" customHeight="1">
      <c r="A20" s="16" t="s">
        <v>16</v>
      </c>
      <c r="B20" s="4" t="s">
        <v>92</v>
      </c>
      <c r="C20" s="5" t="b">
        <v>0</v>
      </c>
      <c r="D20" s="18" t="b">
        <v>0</v>
      </c>
      <c r="E20" s="1">
        <f t="shared" si="2"/>
        <v>0</v>
      </c>
    </row>
    <row r="21" spans="1:5" ht="14.1" customHeight="1">
      <c r="A21" s="16" t="s">
        <v>16</v>
      </c>
      <c r="B21" s="6" t="s">
        <v>93</v>
      </c>
      <c r="C21" s="5" t="b">
        <v>0</v>
      </c>
      <c r="D21" s="18" t="b">
        <v>0</v>
      </c>
      <c r="E21" s="1">
        <f t="shared" si="2"/>
        <v>0</v>
      </c>
    </row>
    <row r="22" spans="1:5" ht="14.1" customHeight="1">
      <c r="A22" s="16" t="s">
        <v>16</v>
      </c>
      <c r="B22" s="4" t="s">
        <v>94</v>
      </c>
      <c r="C22" s="5" t="b">
        <v>0</v>
      </c>
      <c r="D22" s="18" t="b">
        <v>0</v>
      </c>
      <c r="E22" s="1">
        <f t="shared" si="2"/>
        <v>0</v>
      </c>
    </row>
    <row r="23" spans="1:5" ht="14.1" customHeight="1">
      <c r="A23" s="16" t="s">
        <v>16</v>
      </c>
      <c r="B23" s="4" t="s">
        <v>95</v>
      </c>
      <c r="C23" s="5" t="b">
        <v>0</v>
      </c>
      <c r="D23" s="18" t="b">
        <v>0</v>
      </c>
      <c r="E23" s="1">
        <f t="shared" si="2"/>
        <v>0</v>
      </c>
    </row>
  </sheetData>
  <sheetProtection algorithmName="SHA-512" hashValue="YNKwl9jsNRt4j/z1iBwzcqHw0DnJj2Pq2WBoSAMHehNvTPzgLxIJz4wPGkMk8Vn5yoRdn4krm0uhn2nXRyaqmQ==" saltValue="LRmOJ0Aedn4X4HbMuZedhA==" spinCount="100000" sheet="1" objects="1" scenarios="1"/>
  <conditionalFormatting sqref="B3:B23">
    <cfRule type="expression" dxfId="2" priority="1">
      <formula>$E3=2</formula>
    </cfRule>
    <cfRule type="expression" dxfId="1" priority="2">
      <formula>$E3=0</formula>
    </cfRule>
    <cfRule type="expression" dxfId="0" priority="3">
      <formula>$E3=1</formula>
    </cfRule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bff66c5-45db-46ed-8b81-87959e069b90}" enabled="0" method="" siteId="{0bff66c5-45db-46ed-8b81-87959e069b9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Hogeschool PXL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Lode Van Hout</dc:creator>
  <cp:keywords/>
  <dc:description/>
  <cp:lastModifiedBy>Robbie Vandeputte</cp:lastModifiedBy>
  <cp:revision/>
  <dcterms:created xsi:type="dcterms:W3CDTF">2025-12-07T14:58:41Z</dcterms:created>
  <dcterms:modified xsi:type="dcterms:W3CDTF">2026-01-06T21:25:01Z</dcterms:modified>
  <cp:category/>
  <cp:contentStatus/>
</cp:coreProperties>
</file>